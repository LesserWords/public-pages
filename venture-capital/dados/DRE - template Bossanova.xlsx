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diogotakayama/Documents/SD/SEBRAE/Startups/Cianorte/Incubacao/"/>
    </mc:Choice>
  </mc:AlternateContent>
  <xr:revisionPtr revIDLastSave="0" documentId="13_ncr:1_{5A961EE6-4CE9-5946-B6B8-8282E1ED8F0B}" xr6:coauthVersionLast="47" xr6:coauthVersionMax="47" xr10:uidLastSave="{00000000-0000-0000-0000-000000000000}"/>
  <bookViews>
    <workbookView xWindow="0" yWindow="880" windowWidth="36000" windowHeight="22500" xr2:uid="{00000000-000D-0000-FFFF-FFFF00000000}"/>
  </bookViews>
  <sheets>
    <sheet name="DRE " sheetId="2" r:id="rId1"/>
    <sheet name="Dashboard Análise" sheetId="3" state="hidden" r:id="rId2"/>
    <sheet name="Base de dados" sheetId="4" state="hidden" r:id="rId3"/>
  </sheets>
  <definedNames>
    <definedName name="SegmentaçãodeDados_Fatores">#REF!</definedName>
    <definedName name="SlicerCache_Table_1_Col_1">#N/A</definedName>
    <definedName name="Z_1388908F_E280_44E8_A47C_CEFCEE72ABB0_.wvu.FilterData" localSheetId="2" hidden="1">'Base de dados'!$A$2:$F$20</definedName>
    <definedName name="Z_A11FAE4A_97D1_4D52_AEE6_336F63F0F8DC_.wvu.FilterData" localSheetId="2" hidden="1">'Base de dados'!$A$2:$AW$58</definedName>
  </definedNames>
  <calcPr calcId="191029"/>
  <customWorkbookViews>
    <customWorkbookView name="Filter 1" guid="{1388908F-E280-44E8-A47C-CEFCEE72ABB0}" maximized="1" windowWidth="0" windowHeight="0" activeSheetId="0"/>
    <customWorkbookView name="Filter 2" guid="{A11FAE4A-97D1-4D52-AEE6-336F63F0F8DC}"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53" i="4" l="1"/>
  <c r="AA42" i="4"/>
  <c r="AA54" i="4" s="1"/>
  <c r="AQ39" i="4"/>
  <c r="AQ41" i="4" s="1"/>
  <c r="K39" i="4"/>
  <c r="K41" i="4" s="1"/>
  <c r="AW37" i="4"/>
  <c r="AV37" i="4"/>
  <c r="AU37" i="4"/>
  <c r="AT37" i="4"/>
  <c r="AS37" i="4"/>
  <c r="AR37" i="4"/>
  <c r="AQ37" i="4"/>
  <c r="AP37" i="4"/>
  <c r="AO37" i="4"/>
  <c r="AN37" i="4"/>
  <c r="AM37" i="4"/>
  <c r="AL37" i="4"/>
  <c r="AK37" i="4"/>
  <c r="AJ37" i="4"/>
  <c r="AI37" i="4"/>
  <c r="AH37"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D37" i="4"/>
  <c r="C37" i="4"/>
  <c r="B37" i="4"/>
  <c r="AW36" i="4"/>
  <c r="AV36" i="4"/>
  <c r="AU36" i="4"/>
  <c r="AT36" i="4"/>
  <c r="AS36" i="4"/>
  <c r="AR36" i="4"/>
  <c r="AQ36" i="4"/>
  <c r="AP36" i="4"/>
  <c r="AO36" i="4"/>
  <c r="AN36" i="4"/>
  <c r="AM36" i="4"/>
  <c r="AL36" i="4"/>
  <c r="AK36" i="4"/>
  <c r="AJ36" i="4"/>
  <c r="AI36"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D36" i="4"/>
  <c r="C36" i="4"/>
  <c r="B36" i="4"/>
  <c r="AW33" i="4"/>
  <c r="AV33" i="4"/>
  <c r="AU33" i="4"/>
  <c r="AT33" i="4"/>
  <c r="AS33" i="4"/>
  <c r="AR33" i="4"/>
  <c r="AQ33" i="4"/>
  <c r="AP33" i="4"/>
  <c r="AO33" i="4"/>
  <c r="AN33" i="4"/>
  <c r="AM33" i="4"/>
  <c r="AL33" i="4"/>
  <c r="AK33" i="4"/>
  <c r="AJ33" i="4"/>
  <c r="AI33" i="4"/>
  <c r="AH33"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D33" i="4"/>
  <c r="C33" i="4"/>
  <c r="B33" i="4"/>
  <c r="AW32" i="4"/>
  <c r="AV32" i="4"/>
  <c r="AU32" i="4"/>
  <c r="AT32" i="4"/>
  <c r="AS32" i="4"/>
  <c r="AR32" i="4"/>
  <c r="AQ32" i="4"/>
  <c r="AP32" i="4"/>
  <c r="AO32" i="4"/>
  <c r="AN32" i="4"/>
  <c r="AM32" i="4"/>
  <c r="AL32" i="4"/>
  <c r="AK32" i="4"/>
  <c r="AJ32" i="4"/>
  <c r="AI32" i="4"/>
  <c r="AH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D32" i="4"/>
  <c r="C32" i="4"/>
  <c r="B32" i="4"/>
  <c r="AW31" i="4"/>
  <c r="AV31" i="4"/>
  <c r="AU31" i="4"/>
  <c r="AT31" i="4"/>
  <c r="AS31" i="4"/>
  <c r="AR31" i="4"/>
  <c r="AQ31" i="4"/>
  <c r="AP31" i="4"/>
  <c r="AO31" i="4"/>
  <c r="AN31" i="4"/>
  <c r="AM31" i="4"/>
  <c r="AL31" i="4"/>
  <c r="AK31" i="4"/>
  <c r="AJ31" i="4"/>
  <c r="AI31" i="4"/>
  <c r="AH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D31" i="4"/>
  <c r="C31" i="4"/>
  <c r="B31" i="4"/>
  <c r="AW30" i="4"/>
  <c r="AV30" i="4"/>
  <c r="AU30" i="4"/>
  <c r="AT30" i="4"/>
  <c r="AS30" i="4"/>
  <c r="AR30" i="4"/>
  <c r="AQ30" i="4"/>
  <c r="AP30" i="4"/>
  <c r="AO30" i="4"/>
  <c r="AN30" i="4"/>
  <c r="AM30" i="4"/>
  <c r="AL30" i="4"/>
  <c r="AK30" i="4"/>
  <c r="AJ30" i="4"/>
  <c r="AI30" i="4"/>
  <c r="AH30"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D30" i="4"/>
  <c r="C30" i="4"/>
  <c r="B30" i="4"/>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29" i="4"/>
  <c r="C29" i="4"/>
  <c r="B29" i="4"/>
  <c r="AJ28" i="4"/>
  <c r="AC28" i="4"/>
  <c r="AB28" i="4"/>
  <c r="U28" i="4"/>
  <c r="M28" i="4"/>
  <c r="D28" i="4"/>
  <c r="AW27" i="4"/>
  <c r="AV27" i="4"/>
  <c r="AU27" i="4"/>
  <c r="AT27" i="4"/>
  <c r="AS27" i="4"/>
  <c r="AR27" i="4"/>
  <c r="AQ27" i="4"/>
  <c r="AP27" i="4"/>
  <c r="AO27" i="4"/>
  <c r="AN27" i="4"/>
  <c r="AM27" i="4"/>
  <c r="AL27" i="4"/>
  <c r="AK27" i="4"/>
  <c r="AJ27" i="4"/>
  <c r="AI27" i="4"/>
  <c r="AH27"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D27" i="4"/>
  <c r="C27" i="4"/>
  <c r="B27" i="4"/>
  <c r="AW26" i="4"/>
  <c r="AV26" i="4"/>
  <c r="AU26" i="4"/>
  <c r="AT26" i="4"/>
  <c r="AS26" i="4"/>
  <c r="AR26" i="4"/>
  <c r="AQ26" i="4"/>
  <c r="AP26" i="4"/>
  <c r="AO26" i="4"/>
  <c r="AN26" i="4"/>
  <c r="AM26" i="4"/>
  <c r="AL26" i="4"/>
  <c r="AK26" i="4"/>
  <c r="AJ26" i="4"/>
  <c r="AI26" i="4"/>
  <c r="AH26"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E26" i="4"/>
  <c r="D26" i="4"/>
  <c r="C26" i="4"/>
  <c r="B26" i="4"/>
  <c r="AW25" i="4"/>
  <c r="AV25" i="4"/>
  <c r="AU25" i="4"/>
  <c r="AT25" i="4"/>
  <c r="AS25" i="4"/>
  <c r="AR25" i="4"/>
  <c r="AQ25" i="4"/>
  <c r="AP25" i="4"/>
  <c r="AO25" i="4"/>
  <c r="AN25" i="4"/>
  <c r="AM25" i="4"/>
  <c r="AL25" i="4"/>
  <c r="AK25" i="4"/>
  <c r="AJ25" i="4"/>
  <c r="AI25" i="4"/>
  <c r="AH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D25" i="4"/>
  <c r="C25" i="4"/>
  <c r="B25" i="4"/>
  <c r="AW24" i="4"/>
  <c r="AV24" i="4"/>
  <c r="AU24" i="4"/>
  <c r="AT24" i="4"/>
  <c r="AS24" i="4"/>
  <c r="AR24" i="4"/>
  <c r="AQ24" i="4"/>
  <c r="AP24" i="4"/>
  <c r="AO24" i="4"/>
  <c r="AN24" i="4"/>
  <c r="AM24" i="4"/>
  <c r="AL24" i="4"/>
  <c r="AK24" i="4"/>
  <c r="AJ24" i="4"/>
  <c r="AI24"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D24" i="4"/>
  <c r="C24" i="4"/>
  <c r="B24" i="4"/>
  <c r="AS23" i="4"/>
  <c r="AR23" i="4"/>
  <c r="AK23" i="4"/>
  <c r="AJ23" i="4"/>
  <c r="T23" i="4"/>
  <c r="M23" i="4"/>
  <c r="L23" i="4"/>
  <c r="E23" i="4"/>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S18" i="4"/>
  <c r="AR18" i="4"/>
  <c r="AK18" i="4"/>
  <c r="AJ18" i="4"/>
  <c r="U18" i="4"/>
  <c r="T18" i="4"/>
  <c r="M18" i="4"/>
  <c r="L18" i="4"/>
  <c r="E18" i="4"/>
  <c r="D18" i="4"/>
  <c r="AK17" i="4"/>
  <c r="AJ17" i="4"/>
  <c r="AC17" i="4"/>
  <c r="U17" i="4"/>
  <c r="T17" i="4"/>
  <c r="E17" i="4"/>
  <c r="D17"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W12" i="4"/>
  <c r="AV12" i="4"/>
  <c r="AU12" i="4"/>
  <c r="AT12" i="4"/>
  <c r="AS12" i="4"/>
  <c r="AR12" i="4"/>
  <c r="AQ12" i="4"/>
  <c r="AP12" i="4"/>
  <c r="AO12" i="4"/>
  <c r="AN12" i="4"/>
  <c r="AM12" i="4"/>
  <c r="AL12" i="4"/>
  <c r="AK12"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C12" i="4"/>
  <c r="B12"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B10" i="4"/>
  <c r="AR9" i="4"/>
  <c r="AJ9" i="4"/>
  <c r="AB9" i="4"/>
  <c r="L9" i="4"/>
  <c r="D9"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W7" i="4"/>
  <c r="AW55" i="4" s="1"/>
  <c r="AV7" i="4"/>
  <c r="AU7" i="4"/>
  <c r="AT7" i="4"/>
  <c r="AS7" i="4"/>
  <c r="AR7" i="4"/>
  <c r="AR55" i="4" s="1"/>
  <c r="AQ7" i="4"/>
  <c r="AQ55" i="4" s="1"/>
  <c r="AP7" i="4"/>
  <c r="AO7" i="4"/>
  <c r="AO55" i="4" s="1"/>
  <c r="AN7" i="4"/>
  <c r="AM7" i="4"/>
  <c r="AL7" i="4"/>
  <c r="AK7" i="4"/>
  <c r="AJ7" i="4"/>
  <c r="AJ55" i="4" s="1"/>
  <c r="AI7" i="4"/>
  <c r="AI55" i="4" s="1"/>
  <c r="AH7" i="4"/>
  <c r="AG7" i="4"/>
  <c r="AG55" i="4" s="1"/>
  <c r="AF7" i="4"/>
  <c r="AE7" i="4"/>
  <c r="AD7" i="4"/>
  <c r="AC7" i="4"/>
  <c r="AB7" i="4"/>
  <c r="AB55" i="4" s="1"/>
  <c r="AA7" i="4"/>
  <c r="AA55" i="4" s="1"/>
  <c r="Z7" i="4"/>
  <c r="Y7" i="4"/>
  <c r="Y55" i="4" s="1"/>
  <c r="X7" i="4"/>
  <c r="W7" i="4"/>
  <c r="V7" i="4"/>
  <c r="U7" i="4"/>
  <c r="T7" i="4"/>
  <c r="T55" i="4" s="1"/>
  <c r="S7" i="4"/>
  <c r="R7" i="4"/>
  <c r="Q7" i="4"/>
  <c r="Q55" i="4" s="1"/>
  <c r="P7" i="4"/>
  <c r="O7" i="4"/>
  <c r="N7" i="4"/>
  <c r="M7" i="4"/>
  <c r="L7" i="4"/>
  <c r="L55" i="4" s="1"/>
  <c r="K7" i="4"/>
  <c r="K55" i="4" s="1"/>
  <c r="J7" i="4"/>
  <c r="I7" i="4"/>
  <c r="I55" i="4" s="1"/>
  <c r="H7" i="4"/>
  <c r="G7" i="4"/>
  <c r="F7" i="4"/>
  <c r="E7" i="4"/>
  <c r="D7" i="4"/>
  <c r="D55" i="4" s="1"/>
  <c r="C7" i="4"/>
  <c r="C55" i="4" s="1"/>
  <c r="B7" i="4"/>
  <c r="AR6" i="4"/>
  <c r="AB6" i="4"/>
  <c r="T6" i="4"/>
  <c r="L6" i="4"/>
  <c r="AW5" i="4"/>
  <c r="AW39" i="4" s="1"/>
  <c r="AW41" i="4" s="1"/>
  <c r="AV5" i="4"/>
  <c r="AV39" i="4" s="1"/>
  <c r="AV41" i="4" s="1"/>
  <c r="AU5" i="4"/>
  <c r="AT5" i="4"/>
  <c r="AS5" i="4"/>
  <c r="AR5" i="4"/>
  <c r="AQ5" i="4"/>
  <c r="AP5" i="4"/>
  <c r="AP39" i="4" s="1"/>
  <c r="AP41" i="4" s="1"/>
  <c r="AO5" i="4"/>
  <c r="AN5" i="4"/>
  <c r="AM5" i="4"/>
  <c r="AL5" i="4"/>
  <c r="AK5" i="4"/>
  <c r="AJ5" i="4"/>
  <c r="AI5" i="4"/>
  <c r="AI39" i="4" s="1"/>
  <c r="AI41" i="4" s="1"/>
  <c r="AH5" i="4"/>
  <c r="AH39" i="4" s="1"/>
  <c r="AH41" i="4" s="1"/>
  <c r="AG5" i="4"/>
  <c r="AI45" i="4" s="1"/>
  <c r="AF5" i="4"/>
  <c r="AE5" i="4"/>
  <c r="AD5" i="4"/>
  <c r="AC5" i="4"/>
  <c r="AM47" i="4" s="1"/>
  <c r="AB5" i="4"/>
  <c r="AA5" i="4"/>
  <c r="Z5" i="4"/>
  <c r="Y5" i="4"/>
  <c r="X5" i="4"/>
  <c r="X39" i="4" s="1"/>
  <c r="X41" i="4" s="1"/>
  <c r="W5" i="4"/>
  <c r="V5" i="4"/>
  <c r="V39" i="4" s="1"/>
  <c r="V41" i="4" s="1"/>
  <c r="U5" i="4"/>
  <c r="T5" i="4"/>
  <c r="S5" i="4"/>
  <c r="S39" i="4" s="1"/>
  <c r="S41" i="4" s="1"/>
  <c r="R5" i="4"/>
  <c r="R39" i="4" s="1"/>
  <c r="R41" i="4" s="1"/>
  <c r="Q5" i="4"/>
  <c r="P5" i="4"/>
  <c r="O5" i="4"/>
  <c r="N5" i="4"/>
  <c r="M5" i="4"/>
  <c r="R43" i="4" s="1"/>
  <c r="L5" i="4"/>
  <c r="K5" i="4"/>
  <c r="J5" i="4"/>
  <c r="J39" i="4" s="1"/>
  <c r="J41" i="4" s="1"/>
  <c r="I5" i="4"/>
  <c r="H5" i="4"/>
  <c r="H39" i="4" s="1"/>
  <c r="H41" i="4" s="1"/>
  <c r="G5" i="4"/>
  <c r="F5" i="4"/>
  <c r="E5" i="4"/>
  <c r="D5" i="4"/>
  <c r="C5" i="4"/>
  <c r="C39" i="4" s="1"/>
  <c r="C41" i="4" s="1"/>
  <c r="B5" i="4"/>
  <c r="B43" i="4" s="1"/>
  <c r="AW4" i="4"/>
  <c r="AV4" i="4"/>
  <c r="AU4" i="4"/>
  <c r="AT4" i="4"/>
  <c r="AS4" i="4"/>
  <c r="AR4" i="4"/>
  <c r="AQ4" i="4"/>
  <c r="AP4" i="4"/>
  <c r="AO4" i="4"/>
  <c r="AN4" i="4"/>
  <c r="AM4" i="4"/>
  <c r="AL4" i="4"/>
  <c r="AK4" i="4"/>
  <c r="AJ4" i="4"/>
  <c r="AI4" i="4"/>
  <c r="AH4" i="4"/>
  <c r="AG4" i="4"/>
  <c r="AF4" i="4"/>
  <c r="AE4" i="4"/>
  <c r="AD4" i="4"/>
  <c r="AC4" i="4"/>
  <c r="AB4" i="4"/>
  <c r="AA4" i="4"/>
  <c r="Z4" i="4"/>
  <c r="Y4" i="4"/>
  <c r="X4" i="4"/>
  <c r="W4" i="4"/>
  <c r="V4" i="4"/>
  <c r="U4" i="4"/>
  <c r="T4" i="4"/>
  <c r="S4" i="4"/>
  <c r="R4" i="4"/>
  <c r="Q4" i="4"/>
  <c r="P4" i="4"/>
  <c r="O4" i="4"/>
  <c r="N4" i="4"/>
  <c r="M4" i="4"/>
  <c r="L4" i="4"/>
  <c r="K4" i="4"/>
  <c r="J4" i="4"/>
  <c r="I4" i="4"/>
  <c r="H4" i="4"/>
  <c r="G4" i="4"/>
  <c r="F4" i="4"/>
  <c r="E4" i="4"/>
  <c r="D4" i="4"/>
  <c r="C4" i="4"/>
  <c r="B4" i="4"/>
  <c r="AW3" i="4"/>
  <c r="AW42" i="4" s="1"/>
  <c r="AV3" i="4"/>
  <c r="AV42" i="4" s="1"/>
  <c r="AU3" i="4"/>
  <c r="AU42" i="4" s="1"/>
  <c r="AT3" i="4"/>
  <c r="AT42" i="4" s="1"/>
  <c r="AS3" i="4"/>
  <c r="AS42" i="4" s="1"/>
  <c r="AR3" i="4"/>
  <c r="AR42" i="4" s="1"/>
  <c r="AQ3" i="4"/>
  <c r="AQ42" i="4" s="1"/>
  <c r="AP3" i="4"/>
  <c r="AP42" i="4" s="1"/>
  <c r="AO3" i="4"/>
  <c r="AO42" i="4" s="1"/>
  <c r="AO52" i="4" s="1"/>
  <c r="AN3" i="4"/>
  <c r="AN42" i="4" s="1"/>
  <c r="AM3" i="4"/>
  <c r="AM42" i="4" s="1"/>
  <c r="AL3" i="4"/>
  <c r="AL42" i="4" s="1"/>
  <c r="AK3" i="4"/>
  <c r="AK42" i="4" s="1"/>
  <c r="AJ3" i="4"/>
  <c r="AJ42" i="4" s="1"/>
  <c r="AI3" i="4"/>
  <c r="AI42" i="4" s="1"/>
  <c r="AH3" i="4"/>
  <c r="AH42" i="4" s="1"/>
  <c r="AG3" i="4"/>
  <c r="AG42" i="4" s="1"/>
  <c r="AF3" i="4"/>
  <c r="AF42" i="4" s="1"/>
  <c r="AE3" i="4"/>
  <c r="AE42" i="4" s="1"/>
  <c r="AD3" i="4"/>
  <c r="AD42" i="4" s="1"/>
  <c r="AC3" i="4"/>
  <c r="AC42" i="4" s="1"/>
  <c r="AB3" i="4"/>
  <c r="AB42" i="4" s="1"/>
  <c r="AA3" i="4"/>
  <c r="Z3" i="4"/>
  <c r="Z42" i="4" s="1"/>
  <c r="Y3" i="4"/>
  <c r="Y42" i="4" s="1"/>
  <c r="Y54" i="4" s="1"/>
  <c r="X3" i="4"/>
  <c r="X42" i="4" s="1"/>
  <c r="W3" i="4"/>
  <c r="W42" i="4" s="1"/>
  <c r="V3" i="4"/>
  <c r="V42" i="4" s="1"/>
  <c r="U3" i="4"/>
  <c r="U42" i="4" s="1"/>
  <c r="T3" i="4"/>
  <c r="T42" i="4" s="1"/>
  <c r="S3" i="4"/>
  <c r="S42" i="4" s="1"/>
  <c r="R3" i="4"/>
  <c r="R42" i="4" s="1"/>
  <c r="Q3" i="4"/>
  <c r="Q42" i="4" s="1"/>
  <c r="P3" i="4"/>
  <c r="P42" i="4" s="1"/>
  <c r="O3" i="4"/>
  <c r="O42" i="4" s="1"/>
  <c r="N3" i="4"/>
  <c r="N42" i="4" s="1"/>
  <c r="M3" i="4"/>
  <c r="M42" i="4" s="1"/>
  <c r="L3" i="4"/>
  <c r="L42" i="4" s="1"/>
  <c r="K3" i="4"/>
  <c r="K42" i="4" s="1"/>
  <c r="J3" i="4"/>
  <c r="J42" i="4" s="1"/>
  <c r="I3" i="4"/>
  <c r="I42" i="4" s="1"/>
  <c r="I52" i="4" s="1"/>
  <c r="H3" i="4"/>
  <c r="H42" i="4" s="1"/>
  <c r="G3" i="4"/>
  <c r="G42" i="4" s="1"/>
  <c r="F3" i="4"/>
  <c r="F42" i="4" s="1"/>
  <c r="E3" i="4"/>
  <c r="E42" i="4" s="1"/>
  <c r="D3" i="4"/>
  <c r="D42" i="4" s="1"/>
  <c r="C3" i="4"/>
  <c r="C42" i="4" s="1"/>
  <c r="B3" i="4"/>
  <c r="B42" i="4" s="1"/>
  <c r="A109" i="3" a="1"/>
  <c r="A110" i="3" s="1"/>
  <c r="AW33" i="2"/>
  <c r="AW28" i="4" s="1"/>
  <c r="AV33" i="2"/>
  <c r="AV28" i="4" s="1"/>
  <c r="AU33" i="2"/>
  <c r="AU28" i="4" s="1"/>
  <c r="AT33" i="2"/>
  <c r="AT28" i="4" s="1"/>
  <c r="AS33" i="2"/>
  <c r="AS28" i="4" s="1"/>
  <c r="AR33" i="2"/>
  <c r="AR28" i="4" s="1"/>
  <c r="AQ33" i="2"/>
  <c r="AQ28" i="4" s="1"/>
  <c r="AP33" i="2"/>
  <c r="AP28" i="4" s="1"/>
  <c r="AO33" i="2"/>
  <c r="AO28" i="4" s="1"/>
  <c r="AN33" i="2"/>
  <c r="AN28" i="4" s="1"/>
  <c r="AM33" i="2"/>
  <c r="AM28" i="4" s="1"/>
  <c r="AL33" i="2"/>
  <c r="AL28" i="4" s="1"/>
  <c r="AK33" i="2"/>
  <c r="AK28" i="4" s="1"/>
  <c r="AJ33" i="2"/>
  <c r="AI33" i="2"/>
  <c r="AI28" i="4" s="1"/>
  <c r="AH33" i="2"/>
  <c r="AH28" i="4" s="1"/>
  <c r="AG33" i="2"/>
  <c r="AG28" i="4" s="1"/>
  <c r="AF33" i="2"/>
  <c r="AF28" i="4" s="1"/>
  <c r="AE33" i="2"/>
  <c r="AE28" i="4" s="1"/>
  <c r="AD33" i="2"/>
  <c r="AD28" i="4" s="1"/>
  <c r="AC33" i="2"/>
  <c r="AB33" i="2"/>
  <c r="AA33" i="2"/>
  <c r="AA28" i="4" s="1"/>
  <c r="Z33" i="2"/>
  <c r="Z28" i="4" s="1"/>
  <c r="Y33" i="2"/>
  <c r="Y28" i="4" s="1"/>
  <c r="X33" i="2"/>
  <c r="X28" i="4" s="1"/>
  <c r="W33" i="2"/>
  <c r="W28" i="4" s="1"/>
  <c r="V33" i="2"/>
  <c r="V28" i="4" s="1"/>
  <c r="U33" i="2"/>
  <c r="T33" i="2"/>
  <c r="T28" i="4" s="1"/>
  <c r="S33" i="2"/>
  <c r="S28" i="4" s="1"/>
  <c r="R33" i="2"/>
  <c r="R28" i="4" s="1"/>
  <c r="Q33" i="2"/>
  <c r="Q28" i="4" s="1"/>
  <c r="P33" i="2"/>
  <c r="P28" i="4" s="1"/>
  <c r="O33" i="2"/>
  <c r="O28" i="4" s="1"/>
  <c r="N33" i="2"/>
  <c r="N28" i="4" s="1"/>
  <c r="M33" i="2"/>
  <c r="L33" i="2"/>
  <c r="L28" i="4" s="1"/>
  <c r="K33" i="2"/>
  <c r="K28" i="4" s="1"/>
  <c r="J33" i="2"/>
  <c r="J28" i="4" s="1"/>
  <c r="I33" i="2"/>
  <c r="I28" i="4" s="1"/>
  <c r="H33" i="2"/>
  <c r="H28" i="4" s="1"/>
  <c r="G33" i="2"/>
  <c r="G28" i="4" s="1"/>
  <c r="F33" i="2"/>
  <c r="F28" i="4" s="1"/>
  <c r="E33" i="2"/>
  <c r="E28" i="4" s="1"/>
  <c r="D33" i="2"/>
  <c r="C33" i="2"/>
  <c r="C28" i="4" s="1"/>
  <c r="B33" i="2"/>
  <c r="B28" i="4" s="1"/>
  <c r="AW28" i="2"/>
  <c r="AW23" i="4" s="1"/>
  <c r="AV28" i="2"/>
  <c r="AV23" i="4" s="1"/>
  <c r="AU28" i="2"/>
  <c r="AU23" i="4" s="1"/>
  <c r="AT28" i="2"/>
  <c r="AT23" i="4" s="1"/>
  <c r="AS28" i="2"/>
  <c r="AR28" i="2"/>
  <c r="AQ28" i="2"/>
  <c r="AQ23" i="4" s="1"/>
  <c r="AP28" i="2"/>
  <c r="AP23" i="4" s="1"/>
  <c r="AO28" i="2"/>
  <c r="AO23" i="4" s="1"/>
  <c r="AN28" i="2"/>
  <c r="AN23" i="4" s="1"/>
  <c r="AM28" i="2"/>
  <c r="AM23" i="4" s="1"/>
  <c r="AL28" i="2"/>
  <c r="AL23" i="4" s="1"/>
  <c r="AK28" i="2"/>
  <c r="AJ28" i="2"/>
  <c r="AI28" i="2"/>
  <c r="AI23" i="4" s="1"/>
  <c r="AH28" i="2"/>
  <c r="AH23" i="4" s="1"/>
  <c r="AG28" i="2"/>
  <c r="AG23" i="4" s="1"/>
  <c r="AF28" i="2"/>
  <c r="AF23" i="4" s="1"/>
  <c r="AE28" i="2"/>
  <c r="AE23" i="4" s="1"/>
  <c r="AD28" i="2"/>
  <c r="AD23" i="4" s="1"/>
  <c r="AC28" i="2"/>
  <c r="AC23" i="4" s="1"/>
  <c r="AB28" i="2"/>
  <c r="AB23" i="4" s="1"/>
  <c r="AA28" i="2"/>
  <c r="AA23" i="4" s="1"/>
  <c r="Z28" i="2"/>
  <c r="Z23" i="4" s="1"/>
  <c r="Y28" i="2"/>
  <c r="Y23" i="4" s="1"/>
  <c r="X28" i="2"/>
  <c r="X23" i="4" s="1"/>
  <c r="W28" i="2"/>
  <c r="W23" i="4" s="1"/>
  <c r="V28" i="2"/>
  <c r="V23" i="4" s="1"/>
  <c r="U28" i="2"/>
  <c r="U23" i="4" s="1"/>
  <c r="T28" i="2"/>
  <c r="S28" i="2"/>
  <c r="S23" i="4" s="1"/>
  <c r="R28" i="2"/>
  <c r="R23" i="4" s="1"/>
  <c r="Q28" i="2"/>
  <c r="Q23" i="4" s="1"/>
  <c r="P28" i="2"/>
  <c r="P23" i="4" s="1"/>
  <c r="O28" i="2"/>
  <c r="O23" i="4" s="1"/>
  <c r="N28" i="2"/>
  <c r="N23" i="4" s="1"/>
  <c r="M28" i="2"/>
  <c r="L28" i="2"/>
  <c r="K28" i="2"/>
  <c r="K23" i="4" s="1"/>
  <c r="J28" i="2"/>
  <c r="J23" i="4" s="1"/>
  <c r="I28" i="2"/>
  <c r="I23" i="4" s="1"/>
  <c r="H28" i="2"/>
  <c r="H23" i="4" s="1"/>
  <c r="G28" i="2"/>
  <c r="G23" i="4" s="1"/>
  <c r="F28" i="2"/>
  <c r="F23" i="4" s="1"/>
  <c r="E28" i="2"/>
  <c r="D28" i="2"/>
  <c r="D23" i="4" s="1"/>
  <c r="C28" i="2"/>
  <c r="C23" i="4" s="1"/>
  <c r="B28" i="2"/>
  <c r="B23" i="4" s="1"/>
  <c r="AW23" i="2"/>
  <c r="AW18" i="4" s="1"/>
  <c r="AV23" i="2"/>
  <c r="AV18" i="4" s="1"/>
  <c r="AU23" i="2"/>
  <c r="AU18" i="4" s="1"/>
  <c r="AT23" i="2"/>
  <c r="AT18" i="4" s="1"/>
  <c r="AS23" i="2"/>
  <c r="AR23" i="2"/>
  <c r="AQ23" i="2"/>
  <c r="AQ18" i="4" s="1"/>
  <c r="AP23" i="2"/>
  <c r="AP18" i="4" s="1"/>
  <c r="AO23" i="2"/>
  <c r="AO18" i="4" s="1"/>
  <c r="AN23" i="2"/>
  <c r="AN18" i="4" s="1"/>
  <c r="AM23" i="2"/>
  <c r="AM18" i="4" s="1"/>
  <c r="AL23" i="2"/>
  <c r="AL18" i="4" s="1"/>
  <c r="AK23" i="2"/>
  <c r="AJ23" i="2"/>
  <c r="AI23" i="2"/>
  <c r="AI18" i="4" s="1"/>
  <c r="AH23" i="2"/>
  <c r="AH18" i="4" s="1"/>
  <c r="AG23" i="2"/>
  <c r="AG18" i="4" s="1"/>
  <c r="AF23" i="2"/>
  <c r="AF18" i="4" s="1"/>
  <c r="AE23" i="2"/>
  <c r="AE18" i="4" s="1"/>
  <c r="AD23" i="2"/>
  <c r="AD18" i="4" s="1"/>
  <c r="AC23" i="2"/>
  <c r="AC18" i="4" s="1"/>
  <c r="AB23" i="2"/>
  <c r="AB18" i="4" s="1"/>
  <c r="AA23" i="2"/>
  <c r="AA18" i="4" s="1"/>
  <c r="Z23" i="2"/>
  <c r="Z18" i="4" s="1"/>
  <c r="Y23" i="2"/>
  <c r="Y18" i="4" s="1"/>
  <c r="X23" i="2"/>
  <c r="X18" i="4" s="1"/>
  <c r="W23" i="2"/>
  <c r="W18" i="4" s="1"/>
  <c r="V23" i="2"/>
  <c r="V18" i="4" s="1"/>
  <c r="U23" i="2"/>
  <c r="T23" i="2"/>
  <c r="S23" i="2"/>
  <c r="S18" i="4" s="1"/>
  <c r="R23" i="2"/>
  <c r="R18" i="4" s="1"/>
  <c r="Q23" i="2"/>
  <c r="Q18" i="4" s="1"/>
  <c r="P23" i="2"/>
  <c r="P18" i="4" s="1"/>
  <c r="O23" i="2"/>
  <c r="O18" i="4" s="1"/>
  <c r="N23" i="2"/>
  <c r="N18" i="4" s="1"/>
  <c r="M23" i="2"/>
  <c r="L23" i="2"/>
  <c r="K23" i="2"/>
  <c r="K18" i="4" s="1"/>
  <c r="J23" i="2"/>
  <c r="J18" i="4" s="1"/>
  <c r="I23" i="2"/>
  <c r="I18" i="4" s="1"/>
  <c r="H23" i="2"/>
  <c r="H18" i="4" s="1"/>
  <c r="G23" i="2"/>
  <c r="G18" i="4" s="1"/>
  <c r="F23" i="2"/>
  <c r="F18" i="4" s="1"/>
  <c r="E23" i="2"/>
  <c r="D23" i="2"/>
  <c r="C23" i="2"/>
  <c r="C18" i="4" s="1"/>
  <c r="B23" i="2"/>
  <c r="B18" i="4" s="1"/>
  <c r="AW22" i="2"/>
  <c r="AW17" i="4" s="1"/>
  <c r="AV22" i="2"/>
  <c r="AV17" i="4" s="1"/>
  <c r="AU22" i="2"/>
  <c r="AU17" i="4" s="1"/>
  <c r="AT22" i="2"/>
  <c r="AT17" i="4" s="1"/>
  <c r="AS22" i="2"/>
  <c r="AS17" i="4" s="1"/>
  <c r="AR22" i="2"/>
  <c r="AR17" i="4" s="1"/>
  <c r="AQ22" i="2"/>
  <c r="AQ17" i="4" s="1"/>
  <c r="AP22" i="2"/>
  <c r="AP17" i="4" s="1"/>
  <c r="AO22" i="2"/>
  <c r="AO17" i="4" s="1"/>
  <c r="AN22" i="2"/>
  <c r="AN17" i="4" s="1"/>
  <c r="AM22" i="2"/>
  <c r="AM17" i="4" s="1"/>
  <c r="AL22" i="2"/>
  <c r="AL17" i="4" s="1"/>
  <c r="AK22" i="2"/>
  <c r="AJ22" i="2"/>
  <c r="AI22" i="2"/>
  <c r="AI17" i="4" s="1"/>
  <c r="AH22" i="2"/>
  <c r="AH17" i="4" s="1"/>
  <c r="AG22" i="2"/>
  <c r="AG17" i="4" s="1"/>
  <c r="AF22" i="2"/>
  <c r="AF17" i="4" s="1"/>
  <c r="AE22" i="2"/>
  <c r="AE17" i="4" s="1"/>
  <c r="AD22" i="2"/>
  <c r="AD17" i="4" s="1"/>
  <c r="AC22" i="2"/>
  <c r="AB22" i="2"/>
  <c r="AB17" i="4" s="1"/>
  <c r="AA22" i="2"/>
  <c r="AA17" i="4" s="1"/>
  <c r="Z22" i="2"/>
  <c r="Z17" i="4" s="1"/>
  <c r="Y22" i="2"/>
  <c r="Y17" i="4" s="1"/>
  <c r="X22" i="2"/>
  <c r="X17" i="4" s="1"/>
  <c r="W22" i="2"/>
  <c r="W17" i="4" s="1"/>
  <c r="V22" i="2"/>
  <c r="V17" i="4" s="1"/>
  <c r="U22" i="2"/>
  <c r="T22" i="2"/>
  <c r="S22" i="2"/>
  <c r="S17" i="4" s="1"/>
  <c r="R22" i="2"/>
  <c r="R17" i="4" s="1"/>
  <c r="Q22" i="2"/>
  <c r="Q17" i="4" s="1"/>
  <c r="P22" i="2"/>
  <c r="P17" i="4" s="1"/>
  <c r="O22" i="2"/>
  <c r="O17" i="4" s="1"/>
  <c r="N22" i="2"/>
  <c r="N17" i="4" s="1"/>
  <c r="M22" i="2"/>
  <c r="M17" i="4" s="1"/>
  <c r="L22" i="2"/>
  <c r="L17" i="4" s="1"/>
  <c r="K22" i="2"/>
  <c r="K17" i="4" s="1"/>
  <c r="J22" i="2"/>
  <c r="J17" i="4" s="1"/>
  <c r="I22" i="2"/>
  <c r="I17" i="4" s="1"/>
  <c r="H22" i="2"/>
  <c r="H17" i="4" s="1"/>
  <c r="G22" i="2"/>
  <c r="G17" i="4" s="1"/>
  <c r="F22" i="2"/>
  <c r="F17" i="4" s="1"/>
  <c r="E22" i="2"/>
  <c r="D22" i="2"/>
  <c r="C22" i="2"/>
  <c r="C17" i="4" s="1"/>
  <c r="B22" i="2"/>
  <c r="B17" i="4" s="1"/>
  <c r="AQ19" i="2"/>
  <c r="AI19" i="2"/>
  <c r="AI15" i="4" s="1"/>
  <c r="K19" i="2"/>
  <c r="AW17" i="2"/>
  <c r="AQ17" i="2"/>
  <c r="AQ13" i="4" s="1"/>
  <c r="AO17" i="2"/>
  <c r="AO13" i="4" s="1"/>
  <c r="AM17" i="2"/>
  <c r="AI17" i="2"/>
  <c r="AI13" i="4" s="1"/>
  <c r="AE17" i="2"/>
  <c r="AE19" i="2" s="1"/>
  <c r="AA17" i="2"/>
  <c r="S17" i="2"/>
  <c r="S13" i="4" s="1"/>
  <c r="Q17" i="2"/>
  <c r="K17" i="2"/>
  <c r="K13" i="4" s="1"/>
  <c r="I17" i="2"/>
  <c r="I19" i="2" s="1"/>
  <c r="G17" i="2"/>
  <c r="AU13" i="2"/>
  <c r="AU10" i="4" s="1"/>
  <c r="AQ13" i="2"/>
  <c r="AQ10" i="4" s="1"/>
  <c r="AG13" i="2"/>
  <c r="AG10" i="4" s="1"/>
  <c r="AW12" i="2"/>
  <c r="AW9" i="4" s="1"/>
  <c r="AV12" i="2"/>
  <c r="AU12" i="2"/>
  <c r="AU9" i="4" s="1"/>
  <c r="AT12" i="2"/>
  <c r="AT13" i="2" s="1"/>
  <c r="AT10" i="4" s="1"/>
  <c r="AS12" i="2"/>
  <c r="AR12" i="2"/>
  <c r="AR17" i="2" s="1"/>
  <c r="AQ12" i="2"/>
  <c r="AQ9" i="4" s="1"/>
  <c r="AP12" i="2"/>
  <c r="AO12" i="2"/>
  <c r="AO9" i="4" s="1"/>
  <c r="AN12" i="2"/>
  <c r="AM12" i="2"/>
  <c r="AM9" i="4" s="1"/>
  <c r="AL12" i="2"/>
  <c r="AL17" i="2" s="1"/>
  <c r="AK12" i="2"/>
  <c r="AJ12" i="2"/>
  <c r="AJ17" i="2" s="1"/>
  <c r="AJ19" i="2" s="1"/>
  <c r="AI12" i="2"/>
  <c r="AI9" i="4" s="1"/>
  <c r="AH12" i="2"/>
  <c r="AG12" i="2"/>
  <c r="AG9" i="4" s="1"/>
  <c r="AF12" i="2"/>
  <c r="AE12" i="2"/>
  <c r="AE9" i="4" s="1"/>
  <c r="AD12" i="2"/>
  <c r="AD9" i="4" s="1"/>
  <c r="AC12" i="2"/>
  <c r="AB12" i="2"/>
  <c r="AB17" i="2" s="1"/>
  <c r="AA12" i="2"/>
  <c r="AA9" i="4" s="1"/>
  <c r="Z12" i="2"/>
  <c r="Y12" i="2"/>
  <c r="Y17" i="2" s="1"/>
  <c r="X12" i="2"/>
  <c r="W12" i="2"/>
  <c r="W9" i="4" s="1"/>
  <c r="V12" i="2"/>
  <c r="U12" i="2"/>
  <c r="T12" i="2"/>
  <c r="T9" i="4" s="1"/>
  <c r="S12" i="2"/>
  <c r="S9" i="4" s="1"/>
  <c r="R12" i="2"/>
  <c r="Q12" i="2"/>
  <c r="Q9" i="4" s="1"/>
  <c r="P12" i="2"/>
  <c r="O12" i="2"/>
  <c r="O9" i="4" s="1"/>
  <c r="N12" i="2"/>
  <c r="M12" i="2"/>
  <c r="L12" i="2"/>
  <c r="L17" i="2" s="1"/>
  <c r="K12" i="2"/>
  <c r="K9" i="4" s="1"/>
  <c r="J12" i="2"/>
  <c r="I12" i="2"/>
  <c r="I9" i="4" s="1"/>
  <c r="H12" i="2"/>
  <c r="G12" i="2"/>
  <c r="G9" i="4" s="1"/>
  <c r="F12" i="2"/>
  <c r="E12" i="2"/>
  <c r="E9" i="4" s="1"/>
  <c r="D12" i="2"/>
  <c r="D17" i="2" s="1"/>
  <c r="D19" i="2" s="1"/>
  <c r="C12" i="2"/>
  <c r="C9" i="4" s="1"/>
  <c r="B12" i="2"/>
  <c r="AW8" i="2"/>
  <c r="AW6" i="4" s="1"/>
  <c r="AV8" i="2"/>
  <c r="AV6" i="4" s="1"/>
  <c r="AU8" i="2"/>
  <c r="AU6" i="4" s="1"/>
  <c r="AT8" i="2"/>
  <c r="AT6" i="4" s="1"/>
  <c r="AS8" i="2"/>
  <c r="AS6" i="4" s="1"/>
  <c r="AR8" i="2"/>
  <c r="AQ8" i="2"/>
  <c r="AQ6" i="4" s="1"/>
  <c r="AQ51" i="4" s="1"/>
  <c r="AQ48" i="4" s="1"/>
  <c r="AP8" i="2"/>
  <c r="AP6" i="4" s="1"/>
  <c r="AO8" i="2"/>
  <c r="AO6" i="4" s="1"/>
  <c r="AN8" i="2"/>
  <c r="AN6" i="4" s="1"/>
  <c r="AM8" i="2"/>
  <c r="AM6" i="4" s="1"/>
  <c r="AL8" i="2"/>
  <c r="AL6" i="4" s="1"/>
  <c r="AK8" i="2"/>
  <c r="AK6" i="4" s="1"/>
  <c r="AJ8" i="2"/>
  <c r="AJ6" i="4" s="1"/>
  <c r="AI8" i="2"/>
  <c r="AI6" i="4" s="1"/>
  <c r="AH8" i="2"/>
  <c r="AH6" i="4" s="1"/>
  <c r="AG8" i="2"/>
  <c r="AG6" i="4" s="1"/>
  <c r="AG51" i="4" s="1"/>
  <c r="AG48" i="4" s="1"/>
  <c r="AF8" i="2"/>
  <c r="AF6" i="4" s="1"/>
  <c r="AE8" i="2"/>
  <c r="AE6" i="4" s="1"/>
  <c r="AD8" i="2"/>
  <c r="AD6" i="4" s="1"/>
  <c r="AC8" i="2"/>
  <c r="AC6" i="4" s="1"/>
  <c r="AB8" i="2"/>
  <c r="AA8" i="2"/>
  <c r="AA6" i="4" s="1"/>
  <c r="Z8" i="2"/>
  <c r="Z6" i="4" s="1"/>
  <c r="Y8" i="2"/>
  <c r="Y6" i="4" s="1"/>
  <c r="X8" i="2"/>
  <c r="X6" i="4" s="1"/>
  <c r="W8" i="2"/>
  <c r="W6" i="4" s="1"/>
  <c r="V8" i="2"/>
  <c r="V6" i="4" s="1"/>
  <c r="U8" i="2"/>
  <c r="U6" i="4" s="1"/>
  <c r="T8" i="2"/>
  <c r="S8" i="2"/>
  <c r="S6" i="4" s="1"/>
  <c r="R8" i="2"/>
  <c r="R6" i="4" s="1"/>
  <c r="Q8" i="2"/>
  <c r="Q6" i="4" s="1"/>
  <c r="P8" i="2"/>
  <c r="P6" i="4" s="1"/>
  <c r="O8" i="2"/>
  <c r="O6" i="4" s="1"/>
  <c r="N8" i="2"/>
  <c r="N6" i="4" s="1"/>
  <c r="M8" i="2"/>
  <c r="M6" i="4" s="1"/>
  <c r="L8" i="2"/>
  <c r="K8" i="2"/>
  <c r="K6" i="4" s="1"/>
  <c r="K50" i="4" s="1"/>
  <c r="K44" i="4" s="1"/>
  <c r="J8" i="2"/>
  <c r="J6" i="4" s="1"/>
  <c r="I8" i="2"/>
  <c r="I6" i="4" s="1"/>
  <c r="H8" i="2"/>
  <c r="H6" i="4" s="1"/>
  <c r="G8" i="2"/>
  <c r="G6" i="4" s="1"/>
  <c r="F8" i="2"/>
  <c r="F6" i="4" s="1"/>
  <c r="E8" i="2"/>
  <c r="E6" i="4" s="1"/>
  <c r="D8" i="2"/>
  <c r="D6" i="4" s="1"/>
  <c r="D40" i="4" s="1"/>
  <c r="C8" i="2"/>
  <c r="C6" i="4" s="1"/>
  <c r="C40" i="4" s="1"/>
  <c r="B8" i="2"/>
  <c r="B6" i="4" s="1"/>
  <c r="C4" i="2"/>
  <c r="D4" i="2" s="1"/>
  <c r="E4" i="2" s="1"/>
  <c r="F4" i="2" s="1"/>
  <c r="G4" i="2" s="1"/>
  <c r="H4" i="2" s="1"/>
  <c r="I4" i="2" s="1"/>
  <c r="J4" i="2" s="1"/>
  <c r="K4" i="2" s="1"/>
  <c r="L4" i="2" s="1"/>
  <c r="M4" i="2" s="1"/>
  <c r="N4" i="2" s="1"/>
  <c r="O4" i="2" s="1"/>
  <c r="P4" i="2" s="1"/>
  <c r="Q4" i="2" s="1"/>
  <c r="R4" i="2" s="1"/>
  <c r="S4" i="2" s="1"/>
  <c r="T4" i="2" s="1"/>
  <c r="U4" i="2" s="1"/>
  <c r="V4" i="2" s="1"/>
  <c r="W4" i="2" s="1"/>
  <c r="X4" i="2" s="1"/>
  <c r="Y4" i="2" s="1"/>
  <c r="Z4" i="2" s="1"/>
  <c r="AA4" i="2" s="1"/>
  <c r="AB4" i="2" s="1"/>
  <c r="AC4" i="2" s="1"/>
  <c r="AD4" i="2" s="1"/>
  <c r="AE4" i="2" s="1"/>
  <c r="AF4" i="2" s="1"/>
  <c r="AG4" i="2" s="1"/>
  <c r="AH4" i="2" s="1"/>
  <c r="AI4" i="2" s="1"/>
  <c r="AJ4" i="2" s="1"/>
  <c r="AK4" i="2" s="1"/>
  <c r="AL4" i="2" s="1"/>
  <c r="AM4" i="2" s="1"/>
  <c r="AN4" i="2" s="1"/>
  <c r="AO4" i="2" s="1"/>
  <c r="AP4" i="2" s="1"/>
  <c r="AQ4" i="2" s="1"/>
  <c r="AR4" i="2" s="1"/>
  <c r="AS4" i="2" s="1"/>
  <c r="AT4" i="2" s="1"/>
  <c r="AU4" i="2" s="1"/>
  <c r="AV4" i="2" s="1"/>
  <c r="AW4" i="2" s="1"/>
  <c r="AV45" i="4" l="1"/>
  <c r="B45" i="4"/>
  <c r="C45" i="4"/>
  <c r="AO54" i="4"/>
  <c r="C47" i="4"/>
  <c r="V47" i="4"/>
  <c r="AC45" i="4"/>
  <c r="AS45" i="4"/>
  <c r="G55" i="4"/>
  <c r="O55" i="4"/>
  <c r="W55" i="4"/>
  <c r="Y56" i="4" s="1"/>
  <c r="AE55" i="4"/>
  <c r="AG56" i="4" s="1"/>
  <c r="AM55" i="4"/>
  <c r="AO56" i="4" s="1"/>
  <c r="AU55" i="4"/>
  <c r="AW56" i="4" s="1"/>
  <c r="B39" i="4"/>
  <c r="B41" i="4" s="1"/>
  <c r="V43" i="4"/>
  <c r="H55" i="4"/>
  <c r="P55" i="4"/>
  <c r="X55" i="4"/>
  <c r="AF55" i="4"/>
  <c r="AK57" i="4" s="1"/>
  <c r="AN55" i="4"/>
  <c r="AV55" i="4"/>
  <c r="Y52" i="4"/>
  <c r="C17" i="2"/>
  <c r="H54" i="4"/>
  <c r="H53" i="4"/>
  <c r="H52" i="4"/>
  <c r="AV54" i="4"/>
  <c r="AV53" i="4"/>
  <c r="AV52" i="4"/>
  <c r="F54" i="4"/>
  <c r="F53" i="4"/>
  <c r="F52" i="4"/>
  <c r="N54" i="4"/>
  <c r="N53" i="4"/>
  <c r="N52" i="4"/>
  <c r="AD54" i="4"/>
  <c r="AD53" i="4"/>
  <c r="AD52" i="4"/>
  <c r="AT54" i="4"/>
  <c r="AT53" i="4"/>
  <c r="AT52" i="4"/>
  <c r="AE15" i="4"/>
  <c r="AE39" i="2"/>
  <c r="AE20" i="2"/>
  <c r="AE16" i="4" s="1"/>
  <c r="E51" i="4"/>
  <c r="E48" i="4" s="1"/>
  <c r="E50" i="4"/>
  <c r="E44" i="4" s="1"/>
  <c r="E40" i="4"/>
  <c r="E49" i="4"/>
  <c r="E46" i="4" s="1"/>
  <c r="U51" i="4"/>
  <c r="U48" i="4" s="1"/>
  <c r="U50" i="4"/>
  <c r="U44" i="4" s="1"/>
  <c r="U40" i="4"/>
  <c r="W49" i="4"/>
  <c r="W46" i="4" s="1"/>
  <c r="AK51" i="4"/>
  <c r="AK48" i="4" s="1"/>
  <c r="AK50" i="4"/>
  <c r="AK44" i="4" s="1"/>
  <c r="AK40" i="4"/>
  <c r="AM49" i="4"/>
  <c r="AM46" i="4" s="1"/>
  <c r="AA13" i="4"/>
  <c r="AA19" i="2"/>
  <c r="K15" i="4"/>
  <c r="K39" i="2"/>
  <c r="K20" i="2"/>
  <c r="K16" i="4" s="1"/>
  <c r="N51" i="4"/>
  <c r="N48" i="4" s="1"/>
  <c r="N50" i="4"/>
  <c r="N44" i="4" s="1"/>
  <c r="P49" i="4"/>
  <c r="P46" i="4" s="1"/>
  <c r="N40" i="4"/>
  <c r="AL13" i="4"/>
  <c r="AL19" i="2"/>
  <c r="V13" i="2"/>
  <c r="V10" i="4" s="1"/>
  <c r="V17" i="2"/>
  <c r="V9" i="4"/>
  <c r="AF51" i="4"/>
  <c r="AF48" i="4" s="1"/>
  <c r="AF50" i="4"/>
  <c r="AF44" i="4" s="1"/>
  <c r="AH49" i="4"/>
  <c r="AH46" i="4" s="1"/>
  <c r="AF40" i="4"/>
  <c r="AM13" i="4"/>
  <c r="AM19" i="2"/>
  <c r="O51" i="4"/>
  <c r="O48" i="4" s="1"/>
  <c r="O50" i="4"/>
  <c r="O44" i="4" s="1"/>
  <c r="O40" i="4"/>
  <c r="Q49" i="4"/>
  <c r="Q46" i="4" s="1"/>
  <c r="AE51" i="4"/>
  <c r="AE48" i="4" s="1"/>
  <c r="AE50" i="4"/>
  <c r="AE44" i="4" s="1"/>
  <c r="AG49" i="4"/>
  <c r="AG46" i="4" s="1"/>
  <c r="AE40" i="4"/>
  <c r="AO49" i="4"/>
  <c r="AO46" i="4" s="1"/>
  <c r="AU51" i="4"/>
  <c r="AU48" i="4" s="1"/>
  <c r="AU50" i="4"/>
  <c r="AU44" i="4" s="1"/>
  <c r="AW49" i="4"/>
  <c r="AW46" i="4" s="1"/>
  <c r="AU40" i="4"/>
  <c r="X51" i="4"/>
  <c r="X48" i="4" s="1"/>
  <c r="X50" i="4"/>
  <c r="X44" i="4" s="1"/>
  <c r="Z49" i="4"/>
  <c r="Z46" i="4" s="1"/>
  <c r="X40" i="4"/>
  <c r="P9" i="4"/>
  <c r="P17" i="2"/>
  <c r="P13" i="2"/>
  <c r="P10" i="4" s="1"/>
  <c r="AQ49" i="4"/>
  <c r="AQ46" i="4" s="1"/>
  <c r="AO40" i="4"/>
  <c r="AO51" i="4"/>
  <c r="AO48" i="4" s="1"/>
  <c r="AO50" i="4"/>
  <c r="AO44" i="4" s="1"/>
  <c r="I15" i="4"/>
  <c r="I39" i="2"/>
  <c r="I20" i="2"/>
  <c r="I16" i="4" s="1"/>
  <c r="AQ15" i="4"/>
  <c r="AQ39" i="2"/>
  <c r="AQ20" i="2"/>
  <c r="AQ16" i="4" s="1"/>
  <c r="F51" i="4"/>
  <c r="F48" i="4" s="1"/>
  <c r="F50" i="4"/>
  <c r="F44" i="4" s="1"/>
  <c r="H49" i="4"/>
  <c r="H46" i="4" s="1"/>
  <c r="F49" i="4"/>
  <c r="F46" i="4" s="1"/>
  <c r="F40" i="4"/>
  <c r="N13" i="2"/>
  <c r="N10" i="4" s="1"/>
  <c r="N9" i="4"/>
  <c r="N17" i="2"/>
  <c r="O13" i="2"/>
  <c r="O10" i="4" s="1"/>
  <c r="AN51" i="4"/>
  <c r="AN48" i="4" s="1"/>
  <c r="AN50" i="4"/>
  <c r="AN44" i="4" s="1"/>
  <c r="AP49" i="4"/>
  <c r="AP46" i="4" s="1"/>
  <c r="AN40" i="4"/>
  <c r="H9" i="4"/>
  <c r="H17" i="2"/>
  <c r="I13" i="2"/>
  <c r="I10" i="4" s="1"/>
  <c r="H13" i="2"/>
  <c r="H10" i="4" s="1"/>
  <c r="AF9" i="4"/>
  <c r="AF13" i="2"/>
  <c r="AF10" i="4" s="1"/>
  <c r="AF17" i="2"/>
  <c r="G13" i="4"/>
  <c r="G19" i="2"/>
  <c r="Y51" i="4"/>
  <c r="Y48" i="4" s="1"/>
  <c r="Y50" i="4"/>
  <c r="Y44" i="4" s="1"/>
  <c r="AA49" i="4"/>
  <c r="AA46" i="4" s="1"/>
  <c r="Y40" i="4"/>
  <c r="Y13" i="4"/>
  <c r="Y19" i="2"/>
  <c r="J51" i="4"/>
  <c r="J48" i="4" s="1"/>
  <c r="J40" i="4"/>
  <c r="J50" i="4"/>
  <c r="J44" i="4" s="1"/>
  <c r="L49" i="4"/>
  <c r="L46" i="4" s="1"/>
  <c r="R51" i="4"/>
  <c r="R48" i="4" s="1"/>
  <c r="R50" i="4"/>
  <c r="R44" i="4" s="1"/>
  <c r="T49" i="4"/>
  <c r="T46" i="4" s="1"/>
  <c r="R40" i="4"/>
  <c r="AH51" i="4"/>
  <c r="AH48" i="4" s="1"/>
  <c r="AH50" i="4"/>
  <c r="AH44" i="4" s="1"/>
  <c r="AJ49" i="4"/>
  <c r="AJ46" i="4" s="1"/>
  <c r="AH40" i="4"/>
  <c r="AP51" i="4"/>
  <c r="AP48" i="4" s="1"/>
  <c r="AP50" i="4"/>
  <c r="AP44" i="4" s="1"/>
  <c r="AP40" i="4"/>
  <c r="AR49" i="4"/>
  <c r="AR46" i="4" s="1"/>
  <c r="B9" i="4"/>
  <c r="B17" i="2"/>
  <c r="C13" i="2"/>
  <c r="C10" i="4" s="1"/>
  <c r="J9" i="4"/>
  <c r="J13" i="2"/>
  <c r="J10" i="4" s="1"/>
  <c r="J17" i="2"/>
  <c r="R9" i="4"/>
  <c r="R17" i="2"/>
  <c r="S13" i="2"/>
  <c r="S10" i="4" s="1"/>
  <c r="R13" i="2"/>
  <c r="R10" i="4" s="1"/>
  <c r="Z9" i="4"/>
  <c r="Z17" i="2"/>
  <c r="AA13" i="2"/>
  <c r="AA10" i="4" s="1"/>
  <c r="Z13" i="2"/>
  <c r="Z10" i="4" s="1"/>
  <c r="AH9" i="4"/>
  <c r="AH13" i="2"/>
  <c r="AH10" i="4" s="1"/>
  <c r="AH17" i="2"/>
  <c r="AI13" i="2"/>
  <c r="AI10" i="4" s="1"/>
  <c r="AP9" i="4"/>
  <c r="AP13" i="2"/>
  <c r="AP10" i="4" s="1"/>
  <c r="AP17" i="2"/>
  <c r="K13" i="2"/>
  <c r="K10" i="4" s="1"/>
  <c r="V51" i="4"/>
  <c r="V48" i="4" s="1"/>
  <c r="V50" i="4"/>
  <c r="V44" i="4" s="1"/>
  <c r="X49" i="4"/>
  <c r="X46" i="4" s="1"/>
  <c r="V40" i="4"/>
  <c r="AD51" i="4"/>
  <c r="AD48" i="4" s="1"/>
  <c r="AD50" i="4"/>
  <c r="AD44" i="4" s="1"/>
  <c r="AF49" i="4"/>
  <c r="AF46" i="4" s="1"/>
  <c r="AD40" i="4"/>
  <c r="AL51" i="4"/>
  <c r="AL48" i="4" s="1"/>
  <c r="AL50" i="4"/>
  <c r="AL44" i="4" s="1"/>
  <c r="AN49" i="4"/>
  <c r="AN46" i="4" s="1"/>
  <c r="AL40" i="4"/>
  <c r="AT51" i="4"/>
  <c r="AT48" i="4" s="1"/>
  <c r="AT50" i="4"/>
  <c r="AT44" i="4" s="1"/>
  <c r="AV49" i="4"/>
  <c r="AV46" i="4" s="1"/>
  <c r="AT40" i="4"/>
  <c r="F17" i="2"/>
  <c r="F9" i="4"/>
  <c r="F13" i="2"/>
  <c r="F10" i="4" s="1"/>
  <c r="H51" i="4"/>
  <c r="H48" i="4" s="1"/>
  <c r="H50" i="4"/>
  <c r="H44" i="4" s="1"/>
  <c r="J49" i="4"/>
  <c r="J46" i="4" s="1"/>
  <c r="H40" i="4"/>
  <c r="P51" i="4"/>
  <c r="P48" i="4" s="1"/>
  <c r="P50" i="4"/>
  <c r="P44" i="4" s="1"/>
  <c r="R49" i="4"/>
  <c r="R46" i="4" s="1"/>
  <c r="P40" i="4"/>
  <c r="AV51" i="4"/>
  <c r="AV48" i="4" s="1"/>
  <c r="AV50" i="4"/>
  <c r="AV44" i="4" s="1"/>
  <c r="AV40" i="4"/>
  <c r="X13" i="2"/>
  <c r="X10" i="4" s="1"/>
  <c r="X17" i="2"/>
  <c r="Y13" i="2"/>
  <c r="Y10" i="4" s="1"/>
  <c r="X9" i="4"/>
  <c r="AN9" i="4"/>
  <c r="AN17" i="2"/>
  <c r="AO13" i="2"/>
  <c r="AO10" i="4" s="1"/>
  <c r="AN13" i="2"/>
  <c r="AN10" i="4" s="1"/>
  <c r="AV9" i="4"/>
  <c r="AV17" i="2"/>
  <c r="AV13" i="2"/>
  <c r="AV10" i="4" s="1"/>
  <c r="I50" i="4"/>
  <c r="I44" i="4" s="1"/>
  <c r="K49" i="4"/>
  <c r="K46" i="4" s="1"/>
  <c r="I40" i="4"/>
  <c r="I51" i="4"/>
  <c r="I48" i="4" s="1"/>
  <c r="D51" i="4"/>
  <c r="D48" i="4" s="1"/>
  <c r="B51" i="4"/>
  <c r="B48" i="4" s="1"/>
  <c r="B50" i="4"/>
  <c r="B44" i="4" s="1"/>
  <c r="D50" i="4"/>
  <c r="D44" i="4" s="1"/>
  <c r="B49" i="4"/>
  <c r="B46" i="4" s="1"/>
  <c r="C51" i="4"/>
  <c r="C48" i="4" s="1"/>
  <c r="D49" i="4"/>
  <c r="D46" i="4" s="1"/>
  <c r="C49" i="4"/>
  <c r="C46" i="4" s="1"/>
  <c r="C50" i="4"/>
  <c r="C44" i="4" s="1"/>
  <c r="B40" i="4"/>
  <c r="Z51" i="4"/>
  <c r="Z48" i="4" s="1"/>
  <c r="Z50" i="4"/>
  <c r="Z44" i="4" s="1"/>
  <c r="AB49" i="4"/>
  <c r="AB46" i="4" s="1"/>
  <c r="Z40" i="4"/>
  <c r="W13" i="2"/>
  <c r="W10" i="4" s="1"/>
  <c r="Q13" i="4"/>
  <c r="Q19" i="2"/>
  <c r="AW13" i="4"/>
  <c r="AW19" i="2"/>
  <c r="Q53" i="4"/>
  <c r="Q52" i="4"/>
  <c r="Q54" i="4"/>
  <c r="AW53" i="4"/>
  <c r="AW54" i="4"/>
  <c r="AW52" i="4"/>
  <c r="T51" i="4"/>
  <c r="T48" i="4" s="1"/>
  <c r="T50" i="4"/>
  <c r="T44" i="4" s="1"/>
  <c r="T40" i="4"/>
  <c r="V49" i="4"/>
  <c r="V46" i="4" s="1"/>
  <c r="C58" i="4"/>
  <c r="AL9" i="4"/>
  <c r="I13" i="4"/>
  <c r="AE13" i="4"/>
  <c r="AI39" i="2"/>
  <c r="AL13" i="2"/>
  <c r="AL10" i="4" s="1"/>
  <c r="D58" i="4"/>
  <c r="X54" i="4"/>
  <c r="X53" i="4"/>
  <c r="X52" i="4"/>
  <c r="AJ51" i="4"/>
  <c r="AJ48" i="4" s="1"/>
  <c r="AJ50" i="4"/>
  <c r="AJ44" i="4" s="1"/>
  <c r="AJ40" i="4"/>
  <c r="AL49" i="4"/>
  <c r="AL46" i="4" s="1"/>
  <c r="D39" i="2"/>
  <c r="D20" i="2"/>
  <c r="D16" i="4" s="1"/>
  <c r="L19" i="2"/>
  <c r="L13" i="4"/>
  <c r="AB13" i="4"/>
  <c r="AB19" i="2"/>
  <c r="AJ39" i="2"/>
  <c r="AJ20" i="2"/>
  <c r="AJ16" i="4" s="1"/>
  <c r="AR19" i="2"/>
  <c r="AR13" i="4"/>
  <c r="G13" i="2"/>
  <c r="G10" i="4" s="1"/>
  <c r="Q13" i="2"/>
  <c r="Q10" i="4" s="1"/>
  <c r="AM13" i="2"/>
  <c r="AM10" i="4" s="1"/>
  <c r="AW13" i="2"/>
  <c r="AW10" i="4" s="1"/>
  <c r="W17" i="2"/>
  <c r="AG17" i="2"/>
  <c r="C54" i="4"/>
  <c r="C52" i="4"/>
  <c r="C53" i="4"/>
  <c r="K54" i="4"/>
  <c r="K53" i="4"/>
  <c r="K52" i="4"/>
  <c r="S53" i="4"/>
  <c r="S52" i="4"/>
  <c r="S54" i="4"/>
  <c r="AI54" i="4"/>
  <c r="AI52" i="4"/>
  <c r="AQ54" i="4"/>
  <c r="AQ53" i="4"/>
  <c r="AQ52" i="4"/>
  <c r="Y9" i="4"/>
  <c r="AJ13" i="4"/>
  <c r="AT39" i="4"/>
  <c r="AT41" i="4" s="1"/>
  <c r="Z54" i="4"/>
  <c r="Z53" i="4"/>
  <c r="Z52" i="4"/>
  <c r="M51" i="4"/>
  <c r="M48" i="4" s="1"/>
  <c r="M50" i="4"/>
  <c r="M44" i="4" s="1"/>
  <c r="O49" i="4"/>
  <c r="O46" i="4" s="1"/>
  <c r="M40" i="4"/>
  <c r="AC51" i="4"/>
  <c r="AC48" i="4" s="1"/>
  <c r="AC50" i="4"/>
  <c r="AC44" i="4" s="1"/>
  <c r="AC40" i="4"/>
  <c r="AE49" i="4"/>
  <c r="AE46" i="4" s="1"/>
  <c r="AS51" i="4"/>
  <c r="AS48" i="4" s="1"/>
  <c r="AS50" i="4"/>
  <c r="AS44" i="4" s="1"/>
  <c r="AS40" i="4"/>
  <c r="AU49" i="4"/>
  <c r="AU46" i="4" s="1"/>
  <c r="E17" i="2"/>
  <c r="E13" i="2"/>
  <c r="E10" i="4" s="1"/>
  <c r="M17" i="2"/>
  <c r="M13" i="2"/>
  <c r="M10" i="4" s="1"/>
  <c r="M9" i="4"/>
  <c r="U17" i="2"/>
  <c r="U13" i="2"/>
  <c r="U10" i="4" s="1"/>
  <c r="AC17" i="2"/>
  <c r="AC13" i="2"/>
  <c r="AC10" i="4" s="1"/>
  <c r="AC9" i="4"/>
  <c r="AK17" i="2"/>
  <c r="AK13" i="2"/>
  <c r="AK10" i="4" s="1"/>
  <c r="AS17" i="2"/>
  <c r="AS13" i="2"/>
  <c r="AS10" i="4" s="1"/>
  <c r="AS9" i="4"/>
  <c r="AD13" i="2"/>
  <c r="AD10" i="4" s="1"/>
  <c r="AT17" i="2"/>
  <c r="D54" i="4"/>
  <c r="D53" i="4"/>
  <c r="D52" i="4"/>
  <c r="L54" i="4"/>
  <c r="L53" i="4"/>
  <c r="L52" i="4"/>
  <c r="T54" i="4"/>
  <c r="T53" i="4"/>
  <c r="T52" i="4"/>
  <c r="AB54" i="4"/>
  <c r="AB53" i="4"/>
  <c r="AB52" i="4"/>
  <c r="AJ54" i="4"/>
  <c r="AJ53" i="4"/>
  <c r="AJ52" i="4"/>
  <c r="AR54" i="4"/>
  <c r="AR53" i="4"/>
  <c r="AR52" i="4"/>
  <c r="F45" i="4"/>
  <c r="D39" i="4"/>
  <c r="D41" i="4" s="1"/>
  <c r="I43" i="4"/>
  <c r="E47" i="4"/>
  <c r="D47" i="4"/>
  <c r="H43" i="4"/>
  <c r="O47" i="4"/>
  <c r="N45" i="4"/>
  <c r="L39" i="4"/>
  <c r="L41" i="4" s="1"/>
  <c r="Q43" i="4"/>
  <c r="W47" i="4"/>
  <c r="M45" i="4"/>
  <c r="T39" i="4"/>
  <c r="T41" i="4" s="1"/>
  <c r="AE47" i="4"/>
  <c r="Y43" i="4"/>
  <c r="V45" i="4"/>
  <c r="AD47" i="4"/>
  <c r="U45" i="4"/>
  <c r="W43" i="4"/>
  <c r="AB39" i="4"/>
  <c r="AB41" i="4" s="1"/>
  <c r="AD45" i="4"/>
  <c r="AB45" i="4"/>
  <c r="AG43" i="4"/>
  <c r="AF43" i="4"/>
  <c r="AD43" i="4"/>
  <c r="AU47" i="4"/>
  <c r="AJ39" i="4"/>
  <c r="AJ41" i="4" s="1"/>
  <c r="AO43" i="4"/>
  <c r="AL45" i="4"/>
  <c r="AR39" i="4"/>
  <c r="AR41" i="4" s="1"/>
  <c r="AW43" i="4"/>
  <c r="AT45" i="4"/>
  <c r="AT43" i="4"/>
  <c r="AT9" i="4"/>
  <c r="AJ15" i="4"/>
  <c r="X43" i="4"/>
  <c r="AE13" i="2"/>
  <c r="AE10" i="4" s="1"/>
  <c r="O17" i="2"/>
  <c r="AU17" i="2"/>
  <c r="S19" i="2"/>
  <c r="AO19" i="2"/>
  <c r="AI20" i="2"/>
  <c r="AI16" i="4" s="1"/>
  <c r="AB51" i="4"/>
  <c r="AB48" i="4" s="1"/>
  <c r="AB50" i="4"/>
  <c r="AB44" i="4" s="1"/>
  <c r="AB40" i="4"/>
  <c r="AD49" i="4"/>
  <c r="AD46" i="4" s="1"/>
  <c r="AT49" i="4"/>
  <c r="AT46" i="4" s="1"/>
  <c r="AR51" i="4"/>
  <c r="AR48" i="4" s="1"/>
  <c r="AR50" i="4"/>
  <c r="AR44" i="4" s="1"/>
  <c r="AR40" i="4"/>
  <c r="G58" i="4"/>
  <c r="I56" i="4"/>
  <c r="Q56" i="4"/>
  <c r="AJ57" i="4"/>
  <c r="B54" i="4"/>
  <c r="B53" i="4"/>
  <c r="B52" i="4"/>
  <c r="AN43" i="4"/>
  <c r="J45" i="4"/>
  <c r="G51" i="4"/>
  <c r="G48" i="4" s="1"/>
  <c r="G50" i="4"/>
  <c r="G44" i="4" s="1"/>
  <c r="I49" i="4"/>
  <c r="I46" i="4" s="1"/>
  <c r="G49" i="4"/>
  <c r="G46" i="4" s="1"/>
  <c r="G40" i="4"/>
  <c r="W51" i="4"/>
  <c r="W48" i="4" s="1"/>
  <c r="W50" i="4"/>
  <c r="W44" i="4" s="1"/>
  <c r="Y49" i="4"/>
  <c r="Y46" i="4" s="1"/>
  <c r="W40" i="4"/>
  <c r="AM51" i="4"/>
  <c r="AM48" i="4" s="1"/>
  <c r="AM50" i="4"/>
  <c r="AM44" i="4" s="1"/>
  <c r="AM40" i="4"/>
  <c r="V54" i="4"/>
  <c r="V53" i="4"/>
  <c r="V52" i="4"/>
  <c r="AL54" i="4"/>
  <c r="AL53" i="4"/>
  <c r="AL52" i="4"/>
  <c r="H45" i="4"/>
  <c r="F39" i="4"/>
  <c r="F41" i="4" s="1"/>
  <c r="K43" i="4"/>
  <c r="Q47" i="4"/>
  <c r="P45" i="4"/>
  <c r="Y47" i="4"/>
  <c r="S43" i="4"/>
  <c r="N39" i="4"/>
  <c r="N41" i="4" s="1"/>
  <c r="X45" i="4"/>
  <c r="AA43" i="4"/>
  <c r="AG47" i="4"/>
  <c r="AF45" i="4"/>
  <c r="AI43" i="4"/>
  <c r="AO47" i="4"/>
  <c r="AN45" i="4"/>
  <c r="AL39" i="4"/>
  <c r="AL41" i="4" s="1"/>
  <c r="AW47" i="4"/>
  <c r="AM45" i="4"/>
  <c r="AQ43" i="4"/>
  <c r="L51" i="4"/>
  <c r="L48" i="4" s="1"/>
  <c r="L50" i="4"/>
  <c r="L44" i="4" s="1"/>
  <c r="N49" i="4"/>
  <c r="N46" i="4" s="1"/>
  <c r="L40" i="4"/>
  <c r="AH56" i="4"/>
  <c r="AD39" i="4"/>
  <c r="AD41" i="4" s="1"/>
  <c r="AP43" i="4"/>
  <c r="L45" i="4"/>
  <c r="L47" i="4"/>
  <c r="AI53" i="4"/>
  <c r="B110" i="3"/>
  <c r="A109" i="3"/>
  <c r="G54" i="4"/>
  <c r="G53" i="4"/>
  <c r="G52" i="4"/>
  <c r="O54" i="4"/>
  <c r="O53" i="4"/>
  <c r="O52" i="4"/>
  <c r="W54" i="4"/>
  <c r="W53" i="4"/>
  <c r="W52" i="4"/>
  <c r="AE54" i="4"/>
  <c r="AE53" i="4"/>
  <c r="AE52" i="4"/>
  <c r="AM54" i="4"/>
  <c r="AM53" i="4"/>
  <c r="AM52" i="4"/>
  <c r="AU54" i="4"/>
  <c r="AU53" i="4"/>
  <c r="AU52" i="4"/>
  <c r="L43" i="4"/>
  <c r="I45" i="4"/>
  <c r="G39" i="4"/>
  <c r="G41" i="4" s="1"/>
  <c r="R47" i="4"/>
  <c r="T43" i="4"/>
  <c r="O39" i="4"/>
  <c r="O41" i="4" s="1"/>
  <c r="Z47" i="4"/>
  <c r="Q45" i="4"/>
  <c r="Y45" i="4"/>
  <c r="AB43" i="4"/>
  <c r="AH47" i="4"/>
  <c r="W39" i="4"/>
  <c r="W41" i="4" s="1"/>
  <c r="AG45" i="4"/>
  <c r="AJ43" i="4"/>
  <c r="AE39" i="4"/>
  <c r="AE41" i="4" s="1"/>
  <c r="AP47" i="4"/>
  <c r="AR43" i="4"/>
  <c r="AM39" i="4"/>
  <c r="AM41" i="4" s="1"/>
  <c r="AO45" i="4"/>
  <c r="AU39" i="4"/>
  <c r="AU41" i="4" s="1"/>
  <c r="AW45" i="4"/>
  <c r="D13" i="4"/>
  <c r="N47" i="4"/>
  <c r="Q51" i="4"/>
  <c r="Q48" i="4" s="1"/>
  <c r="Q50" i="4"/>
  <c r="Q44" i="4" s="1"/>
  <c r="S49" i="4"/>
  <c r="S46" i="4" s="1"/>
  <c r="Q40" i="4"/>
  <c r="AG50" i="4"/>
  <c r="AG44" i="4" s="1"/>
  <c r="AG40" i="4"/>
  <c r="AI49" i="4"/>
  <c r="AI46" i="4" s="1"/>
  <c r="AW51" i="4"/>
  <c r="AW48" i="4" s="1"/>
  <c r="AW50" i="4"/>
  <c r="AW44" i="4" s="1"/>
  <c r="AW40" i="4"/>
  <c r="AD17" i="2"/>
  <c r="B109" i="3"/>
  <c r="P54" i="4"/>
  <c r="P53" i="4"/>
  <c r="P52" i="4"/>
  <c r="AF54" i="4"/>
  <c r="AF53" i="4"/>
  <c r="AF52" i="4"/>
  <c r="AN54" i="4"/>
  <c r="AN53" i="4"/>
  <c r="AN52" i="4"/>
  <c r="M43" i="4"/>
  <c r="S47" i="4"/>
  <c r="U43" i="4"/>
  <c r="P39" i="4"/>
  <c r="P41" i="4" s="1"/>
  <c r="R45" i="4"/>
  <c r="AA47" i="4"/>
  <c r="AC43" i="4"/>
  <c r="Z45" i="4"/>
  <c r="AH45" i="4"/>
  <c r="AK43" i="4"/>
  <c r="AQ47" i="4"/>
  <c r="AF39" i="4"/>
  <c r="AF41" i="4" s="1"/>
  <c r="AS43" i="4"/>
  <c r="AP45" i="4"/>
  <c r="U9" i="4"/>
  <c r="AK9" i="4"/>
  <c r="D15" i="4"/>
  <c r="AN39" i="4"/>
  <c r="AN41" i="4" s="1"/>
  <c r="AK45" i="4"/>
  <c r="AI47" i="4"/>
  <c r="AK49" i="4"/>
  <c r="AK46" i="4" s="1"/>
  <c r="E54" i="4"/>
  <c r="E53" i="4"/>
  <c r="E52" i="4"/>
  <c r="M54" i="4"/>
  <c r="M53" i="4"/>
  <c r="M52" i="4"/>
  <c r="U54" i="4"/>
  <c r="U53" i="4"/>
  <c r="U52" i="4"/>
  <c r="AC54" i="4"/>
  <c r="AC53" i="4"/>
  <c r="AC52" i="4"/>
  <c r="AK54" i="4"/>
  <c r="AK53" i="4"/>
  <c r="AK52" i="4"/>
  <c r="AS54" i="4"/>
  <c r="AS53" i="4"/>
  <c r="AS52" i="4"/>
  <c r="P47" i="4"/>
  <c r="E39" i="4"/>
  <c r="E41" i="4" s="1"/>
  <c r="G45" i="4"/>
  <c r="X47" i="4"/>
  <c r="O45" i="4"/>
  <c r="M39" i="4"/>
  <c r="M41" i="4" s="1"/>
  <c r="AF47" i="4"/>
  <c r="U39" i="4"/>
  <c r="U41" i="4" s="1"/>
  <c r="W45" i="4"/>
  <c r="Z43" i="4"/>
  <c r="AN47" i="4"/>
  <c r="AC39" i="4"/>
  <c r="AC41" i="4" s="1"/>
  <c r="AE45" i="4"/>
  <c r="AV47" i="4"/>
  <c r="AK39" i="4"/>
  <c r="AK41" i="4" s="1"/>
  <c r="AS39" i="4"/>
  <c r="AS41" i="4" s="1"/>
  <c r="AU45" i="4"/>
  <c r="AA53" i="4"/>
  <c r="AA52" i="4"/>
  <c r="AH54" i="4"/>
  <c r="AH53" i="4"/>
  <c r="AH52" i="4"/>
  <c r="J43" i="4"/>
  <c r="K40" i="4"/>
  <c r="K51" i="4"/>
  <c r="K48" i="4" s="1"/>
  <c r="M49" i="4"/>
  <c r="M46" i="4" s="1"/>
  <c r="S51" i="4"/>
  <c r="S48" i="4" s="1"/>
  <c r="U49" i="4"/>
  <c r="U46" i="4" s="1"/>
  <c r="S50" i="4"/>
  <c r="S44" i="4" s="1"/>
  <c r="S40" i="4"/>
  <c r="AA51" i="4"/>
  <c r="AA48" i="4" s="1"/>
  <c r="AA50" i="4"/>
  <c r="AA44" i="4" s="1"/>
  <c r="AI50" i="4"/>
  <c r="AI44" i="4" s="1"/>
  <c r="AI51" i="4"/>
  <c r="AI48" i="4" s="1"/>
  <c r="AI40" i="4"/>
  <c r="AS49" i="4"/>
  <c r="AS46" i="4" s="1"/>
  <c r="AQ40" i="4"/>
  <c r="AQ50" i="4"/>
  <c r="AQ44" i="4" s="1"/>
  <c r="D13" i="2"/>
  <c r="D10" i="4" s="1"/>
  <c r="L13" i="2"/>
  <c r="L10" i="4" s="1"/>
  <c r="T13" i="2"/>
  <c r="T10" i="4" s="1"/>
  <c r="AB13" i="2"/>
  <c r="AB10" i="4" s="1"/>
  <c r="AJ13" i="2"/>
  <c r="AJ10" i="4" s="1"/>
  <c r="AR13" i="2"/>
  <c r="AR10" i="4" s="1"/>
  <c r="T17" i="2"/>
  <c r="I54" i="4"/>
  <c r="I53" i="4"/>
  <c r="AG54" i="4"/>
  <c r="AG52" i="4"/>
  <c r="AG53" i="4"/>
  <c r="T47" i="4"/>
  <c r="K45" i="4"/>
  <c r="I39" i="4"/>
  <c r="I41" i="4" s="1"/>
  <c r="AB47" i="4"/>
  <c r="Q39" i="4"/>
  <c r="Q41" i="4" s="1"/>
  <c r="S45" i="4"/>
  <c r="Y39" i="4"/>
  <c r="Y41" i="4" s="1"/>
  <c r="AJ47" i="4"/>
  <c r="AR47" i="4"/>
  <c r="AL43" i="4"/>
  <c r="AQ45" i="4"/>
  <c r="AO39" i="4"/>
  <c r="AO41" i="4" s="1"/>
  <c r="E55" i="4"/>
  <c r="M55" i="4"/>
  <c r="U55" i="4"/>
  <c r="AC55" i="4"/>
  <c r="AK55" i="4"/>
  <c r="AS55" i="4"/>
  <c r="AG39" i="4"/>
  <c r="AG41" i="4" s="1"/>
  <c r="AA40" i="4"/>
  <c r="AA45" i="4"/>
  <c r="AC49" i="4"/>
  <c r="AC46" i="4" s="1"/>
  <c r="J54" i="4"/>
  <c r="J53" i="4"/>
  <c r="J52" i="4"/>
  <c r="AP54" i="4"/>
  <c r="AP53" i="4"/>
  <c r="AP52" i="4"/>
  <c r="F47" i="4"/>
  <c r="U47" i="4"/>
  <c r="AE43" i="4"/>
  <c r="AS47" i="4"/>
  <c r="AR45" i="4"/>
  <c r="F55" i="4"/>
  <c r="N55" i="4"/>
  <c r="R58" i="4" s="1"/>
  <c r="V55" i="4"/>
  <c r="AD55" i="4"/>
  <c r="AL55" i="4"/>
  <c r="AT55" i="4"/>
  <c r="R54" i="4"/>
  <c r="R53" i="4"/>
  <c r="R52" i="4"/>
  <c r="N43" i="4"/>
  <c r="AH43" i="4"/>
  <c r="Y53" i="4"/>
  <c r="AJ45" i="4"/>
  <c r="M47" i="4"/>
  <c r="C43" i="4"/>
  <c r="O43" i="4"/>
  <c r="AU43" i="4"/>
  <c r="D45" i="4"/>
  <c r="H47" i="4"/>
  <c r="K47" i="4"/>
  <c r="B47" i="4"/>
  <c r="E43" i="4"/>
  <c r="J47" i="4"/>
  <c r="D43" i="4"/>
  <c r="AC47" i="4"/>
  <c r="AK47" i="4"/>
  <c r="B55" i="4"/>
  <c r="J55" i="4"/>
  <c r="R55" i="4"/>
  <c r="Z55" i="4"/>
  <c r="AH55" i="4"/>
  <c r="AP55" i="4"/>
  <c r="Z39" i="4"/>
  <c r="Z41" i="4" s="1"/>
  <c r="F43" i="4"/>
  <c r="P43" i="4"/>
  <c r="AV43" i="4"/>
  <c r="G47" i="4"/>
  <c r="E45" i="4"/>
  <c r="AL47" i="4"/>
  <c r="AT47" i="4"/>
  <c r="S55" i="4"/>
  <c r="AA39" i="4"/>
  <c r="AA41" i="4" s="1"/>
  <c r="G43" i="4"/>
  <c r="AM43" i="4"/>
  <c r="T45" i="4"/>
  <c r="I47" i="4"/>
  <c r="AT58" i="4" l="1"/>
  <c r="AB58" i="4"/>
  <c r="Q57" i="4"/>
  <c r="S58" i="4"/>
  <c r="N58" i="4"/>
  <c r="AU56" i="4"/>
  <c r="AP58" i="4"/>
  <c r="AG57" i="4"/>
  <c r="AD57" i="4"/>
  <c r="AV56" i="4"/>
  <c r="AA56" i="4"/>
  <c r="AA58" i="4"/>
  <c r="C13" i="4"/>
  <c r="C19" i="2"/>
  <c r="AU57" i="4"/>
  <c r="AR56" i="4"/>
  <c r="AB57" i="4"/>
  <c r="U19" i="2"/>
  <c r="U13" i="4"/>
  <c r="AB39" i="2"/>
  <c r="AB20" i="2"/>
  <c r="AB16" i="4" s="1"/>
  <c r="AB15" i="4"/>
  <c r="AL56" i="4"/>
  <c r="AI34" i="4"/>
  <c r="AI44" i="2"/>
  <c r="AI38" i="4" s="1"/>
  <c r="AI40" i="2"/>
  <c r="AI35" i="4" s="1"/>
  <c r="AK56" i="4"/>
  <c r="AH13" i="4"/>
  <c r="AH19" i="2"/>
  <c r="P13" i="4"/>
  <c r="P19" i="2"/>
  <c r="AP56" i="4"/>
  <c r="W57" i="4"/>
  <c r="AC58" i="4"/>
  <c r="T56" i="4"/>
  <c r="W56" i="4"/>
  <c r="Z57" i="4"/>
  <c r="AF58" i="4"/>
  <c r="O57" i="4"/>
  <c r="U58" i="4"/>
  <c r="L56" i="4"/>
  <c r="S56" i="4"/>
  <c r="AN56" i="4"/>
  <c r="AW58" i="4"/>
  <c r="AQ57" i="4"/>
  <c r="O56" i="4"/>
  <c r="R57" i="4"/>
  <c r="X58" i="4"/>
  <c r="V57" i="4"/>
  <c r="AU58" i="4"/>
  <c r="N56" i="4"/>
  <c r="R13" i="4"/>
  <c r="R19" i="2"/>
  <c r="Y20" i="2"/>
  <c r="Y16" i="4" s="1"/>
  <c r="Y39" i="2"/>
  <c r="Y15" i="4"/>
  <c r="AF13" i="4"/>
  <c r="AF19" i="2"/>
  <c r="I34" i="4"/>
  <c r="I44" i="2"/>
  <c r="I38" i="4" s="1"/>
  <c r="I40" i="2"/>
  <c r="I35" i="4" s="1"/>
  <c r="W58" i="4"/>
  <c r="P57" i="4"/>
  <c r="F13" i="4"/>
  <c r="F19" i="2"/>
  <c r="V13" i="4"/>
  <c r="V19" i="2"/>
  <c r="F58" i="4"/>
  <c r="H56" i="4"/>
  <c r="Q58" i="4"/>
  <c r="K57" i="4"/>
  <c r="AR58" i="4"/>
  <c r="AE57" i="4"/>
  <c r="AK58" i="4"/>
  <c r="AB56" i="4"/>
  <c r="AE56" i="4"/>
  <c r="AH57" i="4"/>
  <c r="AN58" i="4"/>
  <c r="AS19" i="2"/>
  <c r="AS13" i="4"/>
  <c r="G57" i="4"/>
  <c r="F57" i="4"/>
  <c r="M58" i="4"/>
  <c r="E57" i="4"/>
  <c r="L58" i="4"/>
  <c r="D57" i="4"/>
  <c r="D56" i="4"/>
  <c r="J58" i="4"/>
  <c r="B58" i="4"/>
  <c r="B57" i="4"/>
  <c r="B56" i="4"/>
  <c r="H58" i="4"/>
  <c r="C56" i="4"/>
  <c r="K58" i="4"/>
  <c r="I58" i="4"/>
  <c r="C57" i="4"/>
  <c r="AF56" i="4"/>
  <c r="AI57" i="4"/>
  <c r="AO58" i="4"/>
  <c r="G56" i="4"/>
  <c r="E58" i="4"/>
  <c r="J57" i="4"/>
  <c r="P58" i="4"/>
  <c r="AF57" i="4"/>
  <c r="K56" i="4"/>
  <c r="AI58" i="4"/>
  <c r="M57" i="4"/>
  <c r="AR57" i="4"/>
  <c r="Z58" i="4"/>
  <c r="AO15" i="4"/>
  <c r="AO39" i="2"/>
  <c r="AO20" i="2"/>
  <c r="AO16" i="4" s="1"/>
  <c r="X56" i="4"/>
  <c r="AG58" i="4"/>
  <c r="AA57" i="4"/>
  <c r="AC56" i="4"/>
  <c r="AQ56" i="4"/>
  <c r="T58" i="4"/>
  <c r="Z56" i="4"/>
  <c r="T57" i="4"/>
  <c r="AK19" i="2"/>
  <c r="AK13" i="4"/>
  <c r="M19" i="2"/>
  <c r="M13" i="4"/>
  <c r="J13" i="4"/>
  <c r="J19" i="2"/>
  <c r="AM15" i="4"/>
  <c r="AM39" i="2"/>
  <c r="AM20" i="2"/>
  <c r="AM16" i="4" s="1"/>
  <c r="K34" i="4"/>
  <c r="K44" i="2"/>
  <c r="K38" i="4" s="1"/>
  <c r="K40" i="2"/>
  <c r="K35" i="4" s="1"/>
  <c r="J56" i="4"/>
  <c r="S15" i="4"/>
  <c r="S39" i="2"/>
  <c r="S20" i="2"/>
  <c r="S16" i="4" s="1"/>
  <c r="L15" i="4"/>
  <c r="L39" i="2"/>
  <c r="L20" i="2"/>
  <c r="L16" i="4" s="1"/>
  <c r="AD56" i="4"/>
  <c r="I57" i="4"/>
  <c r="M56" i="4"/>
  <c r="AW39" i="2"/>
  <c r="AW15" i="4"/>
  <c r="AW20" i="2"/>
  <c r="AW16" i="4" s="1"/>
  <c r="AV13" i="4"/>
  <c r="AV19" i="2"/>
  <c r="X19" i="2"/>
  <c r="X13" i="4"/>
  <c r="AD58" i="4"/>
  <c r="U56" i="4"/>
  <c r="X57" i="4"/>
  <c r="P56" i="4"/>
  <c r="S57" i="4"/>
  <c r="Y58" i="4"/>
  <c r="T19" i="2"/>
  <c r="T13" i="4"/>
  <c r="AL58" i="4"/>
  <c r="AT57" i="4"/>
  <c r="N57" i="4"/>
  <c r="AI56" i="4"/>
  <c r="AC57" i="4"/>
  <c r="AU13" i="4"/>
  <c r="AU19" i="2"/>
  <c r="AM58" i="4"/>
  <c r="V58" i="4"/>
  <c r="AP13" i="4"/>
  <c r="AP19" i="2"/>
  <c r="AL15" i="4"/>
  <c r="AL20" i="2"/>
  <c r="AL16" i="4" s="1"/>
  <c r="AL39" i="2"/>
  <c r="AE34" i="4"/>
  <c r="AE44" i="2"/>
  <c r="AE38" i="4" s="1"/>
  <c r="AE40" i="2"/>
  <c r="AE35" i="4" s="1"/>
  <c r="E19" i="2"/>
  <c r="E13" i="4"/>
  <c r="AR15" i="4"/>
  <c r="AR39" i="2"/>
  <c r="AR20" i="2"/>
  <c r="AR16" i="4" s="1"/>
  <c r="D44" i="2"/>
  <c r="D38" i="4" s="1"/>
  <c r="D40" i="2"/>
  <c r="D35" i="4" s="1"/>
  <c r="D34" i="4"/>
  <c r="AW57" i="4"/>
  <c r="Y57" i="4"/>
  <c r="F56" i="4"/>
  <c r="AV57" i="4"/>
  <c r="Q15" i="4"/>
  <c r="Q39" i="2"/>
  <c r="Q20" i="2"/>
  <c r="Q16" i="4" s="1"/>
  <c r="Z13" i="4"/>
  <c r="Z19" i="2"/>
  <c r="N19" i="2"/>
  <c r="N13" i="4"/>
  <c r="AA15" i="4"/>
  <c r="AA39" i="2"/>
  <c r="AA20" i="2"/>
  <c r="AA16" i="4" s="1"/>
  <c r="O13" i="4"/>
  <c r="O19" i="2"/>
  <c r="AT19" i="2"/>
  <c r="AT13" i="4"/>
  <c r="AM57" i="4"/>
  <c r="AS58" i="4"/>
  <c r="AJ56" i="4"/>
  <c r="AM56" i="4"/>
  <c r="AP57" i="4"/>
  <c r="AV58" i="4"/>
  <c r="AJ58" i="4"/>
  <c r="AL57" i="4"/>
  <c r="J103" i="3"/>
  <c r="F102" i="3"/>
  <c r="B101" i="3"/>
  <c r="D102" i="3"/>
  <c r="L100" i="3"/>
  <c r="F28" i="3" s="1"/>
  <c r="D103" i="3"/>
  <c r="B103" i="3"/>
  <c r="A28" i="3" s="1"/>
  <c r="F101" i="3"/>
  <c r="B102" i="3"/>
  <c r="F100" i="3"/>
  <c r="B28" i="3" s="1"/>
  <c r="J101" i="3"/>
  <c r="D101" i="3"/>
  <c r="J100" i="3"/>
  <c r="E28" i="3" s="1"/>
  <c r="F103" i="3"/>
  <c r="L102" i="3"/>
  <c r="D100" i="3"/>
  <c r="J102" i="3"/>
  <c r="B100" i="3"/>
  <c r="L101" i="3"/>
  <c r="AS57" i="4"/>
  <c r="R56" i="4"/>
  <c r="L57" i="4"/>
  <c r="AC13" i="4"/>
  <c r="AC19" i="2"/>
  <c r="AG13" i="4"/>
  <c r="AG19" i="2"/>
  <c r="AT56" i="4"/>
  <c r="V56" i="4"/>
  <c r="O58" i="4"/>
  <c r="AS56" i="4"/>
  <c r="H57" i="4"/>
  <c r="H13" i="4"/>
  <c r="H19" i="2"/>
  <c r="AQ34" i="4"/>
  <c r="AQ44" i="2"/>
  <c r="AQ38" i="4" s="1"/>
  <c r="AQ40" i="2"/>
  <c r="AQ35" i="4" s="1"/>
  <c r="AD13" i="4"/>
  <c r="AD19" i="2"/>
  <c r="AQ58" i="4"/>
  <c r="U57" i="4"/>
  <c r="AH58" i="4"/>
  <c r="W13" i="4"/>
  <c r="W19" i="2"/>
  <c r="AJ44" i="2"/>
  <c r="AJ38" i="4" s="1"/>
  <c r="AJ40" i="2"/>
  <c r="AJ35" i="4" s="1"/>
  <c r="AJ34" i="4"/>
  <c r="AO57" i="4"/>
  <c r="AE58" i="4"/>
  <c r="L103" i="3" s="1"/>
  <c r="AN57" i="4"/>
  <c r="E56" i="4"/>
  <c r="AN13" i="4"/>
  <c r="AN19" i="2"/>
  <c r="B13" i="4"/>
  <c r="B19" i="2"/>
  <c r="G39" i="2"/>
  <c r="G15" i="4"/>
  <c r="G20" i="2"/>
  <c r="G16" i="4" s="1"/>
  <c r="C15" i="4" l="1"/>
  <c r="C20" i="2"/>
  <c r="C16" i="4" s="1"/>
  <c r="C39" i="2"/>
  <c r="H102" i="3"/>
  <c r="AL34" i="4"/>
  <c r="AL40" i="2"/>
  <c r="AL35" i="4" s="1"/>
  <c r="AL44" i="2"/>
  <c r="AL38" i="4" s="1"/>
  <c r="AV15" i="4"/>
  <c r="AV20" i="2"/>
  <c r="AV16" i="4" s="1"/>
  <c r="AV39" i="2"/>
  <c r="M15" i="4"/>
  <c r="M39" i="2"/>
  <c r="M20" i="2"/>
  <c r="M16" i="4" s="1"/>
  <c r="V15" i="4"/>
  <c r="V39" i="2"/>
  <c r="V20" i="2"/>
  <c r="V16" i="4" s="1"/>
  <c r="AD20" i="2"/>
  <c r="AD16" i="4" s="1"/>
  <c r="AD39" i="2"/>
  <c r="AD15" i="4"/>
  <c r="W15" i="4"/>
  <c r="W39" i="2"/>
  <c r="W20" i="2"/>
  <c r="W16" i="4" s="1"/>
  <c r="H101" i="3"/>
  <c r="AG15" i="4"/>
  <c r="AG39" i="2"/>
  <c r="AG20" i="2"/>
  <c r="AG16" i="4" s="1"/>
  <c r="AA34" i="4"/>
  <c r="AA40" i="2"/>
  <c r="AA35" i="4" s="1"/>
  <c r="AA44" i="2"/>
  <c r="AA38" i="4" s="1"/>
  <c r="H20" i="2"/>
  <c r="H16" i="4" s="1"/>
  <c r="H39" i="2"/>
  <c r="H15" i="4"/>
  <c r="AR34" i="4"/>
  <c r="AR44" i="2"/>
  <c r="AR38" i="4" s="1"/>
  <c r="AR40" i="2"/>
  <c r="AR35" i="4" s="1"/>
  <c r="L34" i="4"/>
  <c r="L44" i="2"/>
  <c r="L38" i="4" s="1"/>
  <c r="L40" i="2"/>
  <c r="L35" i="4" s="1"/>
  <c r="AF15" i="4"/>
  <c r="AF39" i="2"/>
  <c r="AF20" i="2"/>
  <c r="AF16" i="4" s="1"/>
  <c r="AH15" i="4"/>
  <c r="AH39" i="2"/>
  <c r="AH20" i="2"/>
  <c r="AH16" i="4" s="1"/>
  <c r="AC39" i="2"/>
  <c r="AC20" i="2"/>
  <c r="AC16" i="4" s="1"/>
  <c r="AC15" i="4"/>
  <c r="C28" i="3"/>
  <c r="H100" i="3"/>
  <c r="D28" i="3" s="1"/>
  <c r="AK39" i="2"/>
  <c r="AK20" i="2"/>
  <c r="AK16" i="4" s="1"/>
  <c r="AK15" i="4"/>
  <c r="F15" i="4"/>
  <c r="F20" i="2"/>
  <c r="F16" i="4" s="1"/>
  <c r="F39" i="2"/>
  <c r="AB34" i="4"/>
  <c r="AB44" i="2"/>
  <c r="AB38" i="4" s="1"/>
  <c r="AB40" i="2"/>
  <c r="AB35" i="4" s="1"/>
  <c r="G34" i="4"/>
  <c r="G40" i="2"/>
  <c r="G35" i="4" s="1"/>
  <c r="G44" i="2"/>
  <c r="G38" i="4" s="1"/>
  <c r="N39" i="2"/>
  <c r="N15" i="4"/>
  <c r="N20" i="2"/>
  <c r="N16" i="4" s="1"/>
  <c r="AP15" i="4"/>
  <c r="AP39" i="2"/>
  <c r="AP20" i="2"/>
  <c r="AP16" i="4" s="1"/>
  <c r="AM34" i="4"/>
  <c r="AM40" i="2"/>
  <c r="AM35" i="4" s="1"/>
  <c r="AM44" i="2"/>
  <c r="AM38" i="4" s="1"/>
  <c r="B15" i="4"/>
  <c r="B39" i="2"/>
  <c r="B20" i="2"/>
  <c r="B16" i="4" s="1"/>
  <c r="AT15" i="4"/>
  <c r="AT39" i="2"/>
  <c r="AT20" i="2"/>
  <c r="AT16" i="4" s="1"/>
  <c r="Z15" i="4"/>
  <c r="Z20" i="2"/>
  <c r="Z16" i="4" s="1"/>
  <c r="Z39" i="2"/>
  <c r="E39" i="2"/>
  <c r="E20" i="2"/>
  <c r="E16" i="4" s="1"/>
  <c r="E15" i="4"/>
  <c r="AW34" i="4"/>
  <c r="AW44" i="2"/>
  <c r="AW38" i="4" s="1"/>
  <c r="AW40" i="2"/>
  <c r="AW35" i="4" s="1"/>
  <c r="S34" i="4"/>
  <c r="S44" i="2"/>
  <c r="S38" i="4" s="1"/>
  <c r="S40" i="2"/>
  <c r="S35" i="4" s="1"/>
  <c r="AO34" i="4"/>
  <c r="AO44" i="2"/>
  <c r="AO38" i="4" s="1"/>
  <c r="AO40" i="2"/>
  <c r="AO35" i="4" s="1"/>
  <c r="AS15" i="4"/>
  <c r="AS39" i="2"/>
  <c r="AS20" i="2"/>
  <c r="AS16" i="4" s="1"/>
  <c r="Y34" i="4"/>
  <c r="Y40" i="2"/>
  <c r="Y35" i="4" s="1"/>
  <c r="Y44" i="2"/>
  <c r="Y38" i="4" s="1"/>
  <c r="U39" i="2"/>
  <c r="U20" i="2"/>
  <c r="U16" i="4" s="1"/>
  <c r="U15" i="4"/>
  <c r="H103" i="3"/>
  <c r="O15" i="4"/>
  <c r="O20" i="2"/>
  <c r="O16" i="4" s="1"/>
  <c r="O39" i="2"/>
  <c r="J15" i="4"/>
  <c r="J39" i="2"/>
  <c r="J20" i="2"/>
  <c r="J16" i="4" s="1"/>
  <c r="AN20" i="2"/>
  <c r="AN16" i="4" s="1"/>
  <c r="AN15" i="4"/>
  <c r="AN39" i="2"/>
  <c r="R15" i="4"/>
  <c r="R20" i="2"/>
  <c r="R16" i="4" s="1"/>
  <c r="R39" i="2"/>
  <c r="Q34" i="4"/>
  <c r="Q40" i="2"/>
  <c r="Q35" i="4" s="1"/>
  <c r="Q44" i="2"/>
  <c r="Q38" i="4" s="1"/>
  <c r="AU20" i="2"/>
  <c r="AU16" i="4" s="1"/>
  <c r="AU39" i="2"/>
  <c r="AU15" i="4"/>
  <c r="T39" i="2"/>
  <c r="T20" i="2"/>
  <c r="T16" i="4" s="1"/>
  <c r="T15" i="4"/>
  <c r="X15" i="4"/>
  <c r="X39" i="2"/>
  <c r="X20" i="2"/>
  <c r="X16" i="4" s="1"/>
  <c r="P15" i="4"/>
  <c r="P20" i="2"/>
  <c r="P16" i="4" s="1"/>
  <c r="P39" i="2"/>
  <c r="C40" i="2" l="1"/>
  <c r="C35" i="4" s="1"/>
  <c r="C44" i="2"/>
  <c r="C38" i="4" s="1"/>
  <c r="C34" i="4"/>
  <c r="AU44" i="2"/>
  <c r="AU38" i="4" s="1"/>
  <c r="AU40" i="2"/>
  <c r="AU35" i="4" s="1"/>
  <c r="AU34" i="4"/>
  <c r="AN34" i="4"/>
  <c r="AN44" i="2"/>
  <c r="AN38" i="4" s="1"/>
  <c r="AN40" i="2"/>
  <c r="AN35" i="4" s="1"/>
  <c r="M34" i="4"/>
  <c r="M44" i="2"/>
  <c r="M38" i="4" s="1"/>
  <c r="M40" i="2"/>
  <c r="M35" i="4" s="1"/>
  <c r="AS34" i="4"/>
  <c r="AS44" i="2"/>
  <c r="AS38" i="4" s="1"/>
  <c r="AS40" i="2"/>
  <c r="AS35" i="4" s="1"/>
  <c r="X34" i="4"/>
  <c r="X44" i="2"/>
  <c r="X38" i="4" s="1"/>
  <c r="X40" i="2"/>
  <c r="X35" i="4" s="1"/>
  <c r="AT34" i="4"/>
  <c r="AT44" i="2"/>
  <c r="AT38" i="4" s="1"/>
  <c r="AT40" i="2"/>
  <c r="AT35" i="4" s="1"/>
  <c r="AH34" i="4"/>
  <c r="AH44" i="2"/>
  <c r="AH38" i="4" s="1"/>
  <c r="AH40" i="2"/>
  <c r="AH35" i="4" s="1"/>
  <c r="AP34" i="4"/>
  <c r="AP44" i="2"/>
  <c r="AP38" i="4" s="1"/>
  <c r="AP40" i="2"/>
  <c r="AP35" i="4" s="1"/>
  <c r="AK34" i="4"/>
  <c r="AK44" i="2"/>
  <c r="AK38" i="4" s="1"/>
  <c r="AK40" i="2"/>
  <c r="AK35" i="4" s="1"/>
  <c r="AD40" i="2"/>
  <c r="AD35" i="4" s="1"/>
  <c r="AD34" i="4"/>
  <c r="AD44" i="2"/>
  <c r="AD38" i="4" s="1"/>
  <c r="AV34" i="4"/>
  <c r="AV44" i="2"/>
  <c r="AV38" i="4" s="1"/>
  <c r="AV40" i="2"/>
  <c r="AV35" i="4" s="1"/>
  <c r="AG34" i="4"/>
  <c r="AG44" i="2"/>
  <c r="AG38" i="4" s="1"/>
  <c r="AG40" i="2"/>
  <c r="AG35" i="4" s="1"/>
  <c r="J34" i="4"/>
  <c r="J44" i="2"/>
  <c r="J38" i="4" s="1"/>
  <c r="J40" i="2"/>
  <c r="J35" i="4" s="1"/>
  <c r="U34" i="4"/>
  <c r="U44" i="2"/>
  <c r="U38" i="4" s="1"/>
  <c r="U40" i="2"/>
  <c r="U35" i="4" s="1"/>
  <c r="R34" i="4"/>
  <c r="R40" i="2"/>
  <c r="R35" i="4" s="1"/>
  <c r="R44" i="2"/>
  <c r="R38" i="4" s="1"/>
  <c r="O40" i="2"/>
  <c r="O35" i="4" s="1"/>
  <c r="O44" i="2"/>
  <c r="O38" i="4" s="1"/>
  <c r="O34" i="4"/>
  <c r="E34" i="4"/>
  <c r="E44" i="2"/>
  <c r="E38" i="4" s="1"/>
  <c r="E40" i="2"/>
  <c r="E35" i="4" s="1"/>
  <c r="B34" i="4"/>
  <c r="B44" i="2"/>
  <c r="B38" i="4" s="1"/>
  <c r="B40" i="2"/>
  <c r="B35" i="4" s="1"/>
  <c r="AF34" i="4"/>
  <c r="AF44" i="2"/>
  <c r="AF38" i="4" s="1"/>
  <c r="AF40" i="2"/>
  <c r="AF35" i="4" s="1"/>
  <c r="P34" i="4"/>
  <c r="P40" i="2"/>
  <c r="P35" i="4" s="1"/>
  <c r="P44" i="2"/>
  <c r="P38" i="4" s="1"/>
  <c r="T44" i="2"/>
  <c r="T38" i="4" s="1"/>
  <c r="T40" i="2"/>
  <c r="T35" i="4" s="1"/>
  <c r="T34" i="4"/>
  <c r="Z34" i="4"/>
  <c r="Z40" i="2"/>
  <c r="Z35" i="4" s="1"/>
  <c r="Z44" i="2"/>
  <c r="Z38" i="4" s="1"/>
  <c r="F34" i="4"/>
  <c r="F40" i="2"/>
  <c r="F35" i="4" s="1"/>
  <c r="F44" i="2"/>
  <c r="F38" i="4" s="1"/>
  <c r="H34" i="4"/>
  <c r="H40" i="2"/>
  <c r="H35" i="4" s="1"/>
  <c r="H44" i="2"/>
  <c r="H38" i="4" s="1"/>
  <c r="V44" i="2"/>
  <c r="V38" i="4" s="1"/>
  <c r="V34" i="4"/>
  <c r="V40" i="2"/>
  <c r="V35" i="4" s="1"/>
  <c r="N34" i="4"/>
  <c r="N44" i="2"/>
  <c r="N38" i="4" s="1"/>
  <c r="N40" i="2"/>
  <c r="N35" i="4" s="1"/>
  <c r="AC34" i="4"/>
  <c r="AC44" i="2"/>
  <c r="AC38" i="4" s="1"/>
  <c r="AC40" i="2"/>
  <c r="AC35" i="4" s="1"/>
  <c r="W34" i="4"/>
  <c r="W44" i="2"/>
  <c r="W38" i="4" s="1"/>
  <c r="W40" i="2"/>
  <c r="W35" i="4" s="1"/>
</calcChain>
</file>

<file path=xl/sharedStrings.xml><?xml version="1.0" encoding="utf-8"?>
<sst xmlns="http://schemas.openxmlformats.org/spreadsheetml/2006/main" count="177" uniqueCount="117">
  <si>
    <t>Bossa Nova Investimentos</t>
  </si>
  <si>
    <t>Selecione o último mês nos quais o dados são realizados e não projetados:</t>
  </si>
  <si>
    <t>DRE</t>
  </si>
  <si>
    <t>Realizado</t>
  </si>
  <si>
    <t>Projetado</t>
  </si>
  <si>
    <t>Total de Clientes</t>
  </si>
  <si>
    <t>Novos Clientes</t>
  </si>
  <si>
    <t>Clientes Perdidos</t>
  </si>
  <si>
    <t>Churn</t>
  </si>
  <si>
    <t>Receita Recorrente</t>
  </si>
  <si>
    <t>Receita Não Recorrente</t>
  </si>
  <si>
    <t>Receita Bruta</t>
  </si>
  <si>
    <t>Taxa de Crescimento</t>
  </si>
  <si>
    <t>(-) Impostos</t>
  </si>
  <si>
    <t>(-) Deduções</t>
  </si>
  <si>
    <t>Receita Liquida</t>
  </si>
  <si>
    <t>(-) Custo do serviço prestado</t>
  </si>
  <si>
    <t>Lucro Bruto</t>
  </si>
  <si>
    <t>Margem Bruta</t>
  </si>
  <si>
    <t xml:space="preserve">DESPESAS E CUSTOS </t>
  </si>
  <si>
    <t>Custos com TI</t>
  </si>
  <si>
    <t>Head Count</t>
  </si>
  <si>
    <t>Pessoal</t>
  </si>
  <si>
    <t>Softwares</t>
  </si>
  <si>
    <t>Outros</t>
  </si>
  <si>
    <t>Custos Administrativos</t>
  </si>
  <si>
    <t>Comercial/Marketing</t>
  </si>
  <si>
    <t>Outros Resultados Operacionais (+/-)</t>
  </si>
  <si>
    <t>EBIT</t>
  </si>
  <si>
    <t>Margem EBIT</t>
  </si>
  <si>
    <t>Resultado Financeiro (+/-)</t>
  </si>
  <si>
    <t>Imposto Sobre O Lucro</t>
  </si>
  <si>
    <t>Lucro Líquido</t>
  </si>
  <si>
    <t xml:space="preserve">Lembre-se essa planilha é apenas um guia. Incorpore os dados que você já monitora na sua startup adequando a sua realidade. Quando pronta essa planilha deve mostrar uma visualização clara da sua performance no último ano (se aplicável), nesse ano e projetada. </t>
  </si>
  <si>
    <t>Churn (12 Meses)</t>
  </si>
  <si>
    <t>CAC Último Mês</t>
  </si>
  <si>
    <t>LTV Último Mês</t>
  </si>
  <si>
    <t>LTV/CAC Último Mês</t>
  </si>
  <si>
    <t>Ticket Médio Último Mês</t>
  </si>
  <si>
    <t>Recorrente Por Cliente Último Mês</t>
  </si>
  <si>
    <t>Churn Último Mês</t>
  </si>
  <si>
    <t>Churn (3 Meses)</t>
  </si>
  <si>
    <t>LTV (3 Meses)</t>
  </si>
  <si>
    <t>CAC (3 Meses)</t>
  </si>
  <si>
    <t>LTV/CAC (3 Meses)</t>
  </si>
  <si>
    <t>Ticket Médio (3 Meses)</t>
  </si>
  <si>
    <t>Recorrente Por Cliente (3 Meses)</t>
  </si>
  <si>
    <t>Churn (6 Meses)</t>
  </si>
  <si>
    <t>LTV (6 Meses)</t>
  </si>
  <si>
    <t>CAC (6 Meses)</t>
  </si>
  <si>
    <t>LTV/CAC (6 Meses)</t>
  </si>
  <si>
    <t>Ticket Médio (6 Meses)</t>
  </si>
  <si>
    <t>Recorrente Por Cliente (6 Meses)</t>
  </si>
  <si>
    <t>LTV (12 Meses)</t>
  </si>
  <si>
    <t>CAC (12 Meses)</t>
  </si>
  <si>
    <t>LTV/CAC (12 Meses)</t>
  </si>
  <si>
    <t>Ticket Médio (12 Meses)</t>
  </si>
  <si>
    <t>Recorrente Por Cliente (12 Meses)</t>
  </si>
  <si>
    <t>Fatores</t>
  </si>
  <si>
    <t>jan-19</t>
  </si>
  <si>
    <t>fev-19</t>
  </si>
  <si>
    <t>mar-19</t>
  </si>
  <si>
    <t>abr-19</t>
  </si>
  <si>
    <t>mai-19</t>
  </si>
  <si>
    <t>jun-19</t>
  </si>
  <si>
    <t>jul-19</t>
  </si>
  <si>
    <t>ago-19</t>
  </si>
  <si>
    <t>set-19</t>
  </si>
  <si>
    <t>out-19</t>
  </si>
  <si>
    <t>nov-19</t>
  </si>
  <si>
    <t>dez-19</t>
  </si>
  <si>
    <t>jan-20</t>
  </si>
  <si>
    <t>fev-20</t>
  </si>
  <si>
    <t>mar-20</t>
  </si>
  <si>
    <t>abr-20</t>
  </si>
  <si>
    <t>mai-20</t>
  </si>
  <si>
    <t>jun-20</t>
  </si>
  <si>
    <t>jul-20</t>
  </si>
  <si>
    <t>ago-20</t>
  </si>
  <si>
    <t>set-20</t>
  </si>
  <si>
    <t>out-20</t>
  </si>
  <si>
    <t>nov-20</t>
  </si>
  <si>
    <t>dez-20</t>
  </si>
  <si>
    <t>jan-21</t>
  </si>
  <si>
    <t>fev-21</t>
  </si>
  <si>
    <t>mar-21</t>
  </si>
  <si>
    <t>abr-21</t>
  </si>
  <si>
    <t>mai-21</t>
  </si>
  <si>
    <t>jun-21</t>
  </si>
  <si>
    <t>jul-21</t>
  </si>
  <si>
    <t>ago-21</t>
  </si>
  <si>
    <t>set-21</t>
  </si>
  <si>
    <t>out-21</t>
  </si>
  <si>
    <t>nov-21</t>
  </si>
  <si>
    <t>dez-21</t>
  </si>
  <si>
    <t>jan-22</t>
  </si>
  <si>
    <t>fev-22</t>
  </si>
  <si>
    <t>mar-22</t>
  </si>
  <si>
    <t>abr-22</t>
  </si>
  <si>
    <t>mai-22</t>
  </si>
  <si>
    <t>jun-22</t>
  </si>
  <si>
    <t>jul-22</t>
  </si>
  <si>
    <t>ago-22</t>
  </si>
  <si>
    <t>set-22</t>
  </si>
  <si>
    <t>out-22</t>
  </si>
  <si>
    <t>nov-22</t>
  </si>
  <si>
    <t>dez-22</t>
  </si>
  <si>
    <t>Clientes perdidos</t>
  </si>
  <si>
    <t>Novos clientes</t>
  </si>
  <si>
    <t>Despesas e custos</t>
  </si>
  <si>
    <t>Head count (TI)</t>
  </si>
  <si>
    <t>Head count (ADM)</t>
  </si>
  <si>
    <t>Head count (Comercial/Mkt)</t>
  </si>
  <si>
    <t>CAC Mensal</t>
  </si>
  <si>
    <t>LTV Mensal</t>
  </si>
  <si>
    <t>LTV/CAC Mensal</t>
  </si>
  <si>
    <t>TICKET MÉDIO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</si>
</sst>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quot;#,##0;\-&quot;R$&quot;#,##0"/>
    <numFmt numFmtId="165" formatCode="&quot;R$&quot;\ #,##0.00"/>
    <numFmt numFmtId="166" formatCode="_-&quot;R$&quot;\ * #,##0.00_-;\-&quot;R$&quot;\ * #,##0.00_-;_-&quot;R$&quot;\ * &quot;-&quot;??_-;_-@"/>
  </numFmts>
  <fonts count="17" x14ac:knownFonts="1">
    <font>
      <sz val="12"/>
      <color theme="1"/>
      <name val="Arial"/>
    </font>
    <font>
      <b/>
      <sz val="12"/>
      <color theme="0"/>
      <name val="Arial"/>
      <family val="2"/>
    </font>
    <font>
      <i/>
      <sz val="9"/>
      <color theme="0"/>
      <name val="Arial"/>
      <family val="2"/>
    </font>
    <font>
      <sz val="12"/>
      <name val="Arial"/>
      <family val="2"/>
    </font>
    <font>
      <sz val="11"/>
      <color theme="1"/>
      <name val="Arial"/>
      <family val="2"/>
    </font>
    <font>
      <b/>
      <sz val="14"/>
      <color theme="0"/>
      <name val="Arial"/>
      <family val="2"/>
    </font>
    <font>
      <b/>
      <sz val="18"/>
      <color theme="0"/>
      <name val="Arial"/>
      <family val="2"/>
    </font>
    <font>
      <b/>
      <sz val="12"/>
      <color rgb="FFFFFFFF"/>
      <name val="Arial"/>
      <family val="2"/>
    </font>
    <font>
      <b/>
      <sz val="11"/>
      <color theme="0"/>
      <name val="Arial"/>
      <family val="2"/>
    </font>
    <font>
      <b/>
      <sz val="11"/>
      <color rgb="FFFFFFFF"/>
      <name val="Arial"/>
      <family val="2"/>
    </font>
    <font>
      <sz val="12"/>
      <color theme="1"/>
      <name val="Calibri"/>
      <family val="2"/>
    </font>
    <font>
      <sz val="12"/>
      <color rgb="FF0000CC"/>
      <name val="Arial"/>
      <family val="2"/>
    </font>
    <font>
      <i/>
      <sz val="12"/>
      <color theme="1"/>
      <name val="Arial"/>
      <family val="2"/>
    </font>
    <font>
      <b/>
      <sz val="12"/>
      <color theme="1"/>
      <name val="Arial"/>
      <family val="2"/>
    </font>
    <font>
      <b/>
      <sz val="14"/>
      <color theme="1"/>
      <name val="Arial"/>
      <family val="2"/>
    </font>
    <font>
      <sz val="11"/>
      <color rgb="FF0000CC"/>
      <name val="Arial"/>
      <family val="2"/>
    </font>
    <font>
      <b/>
      <sz val="16"/>
      <color theme="1"/>
      <name val="Arial"/>
      <family val="2"/>
    </font>
  </fonts>
  <fills count="11">
    <fill>
      <patternFill patternType="none"/>
    </fill>
    <fill>
      <patternFill patternType="gray125"/>
    </fill>
    <fill>
      <patternFill patternType="solid">
        <fgColor rgb="FF1F3864"/>
        <bgColor rgb="FF1F3864"/>
      </patternFill>
    </fill>
    <fill>
      <patternFill patternType="solid">
        <fgColor rgb="FFF2F2F2"/>
        <bgColor rgb="FFF2F2F2"/>
      </patternFill>
    </fill>
    <fill>
      <patternFill patternType="solid">
        <fgColor rgb="FFD0CECE"/>
        <bgColor rgb="FFD0CECE"/>
      </patternFill>
    </fill>
    <fill>
      <patternFill patternType="solid">
        <fgColor theme="0"/>
        <bgColor theme="0"/>
      </patternFill>
    </fill>
    <fill>
      <patternFill patternType="solid">
        <fgColor rgb="FFF3F3F3"/>
        <bgColor rgb="FFF3F3F3"/>
      </patternFill>
    </fill>
    <fill>
      <patternFill patternType="solid">
        <fgColor rgb="FFFEF2CB"/>
        <bgColor rgb="FFFEF2CB"/>
      </patternFill>
    </fill>
    <fill>
      <patternFill patternType="solid">
        <fgColor rgb="FFD9E2F3"/>
        <bgColor rgb="FFD9E2F3"/>
      </patternFill>
    </fill>
    <fill>
      <patternFill patternType="solid">
        <fgColor rgb="FF92D050"/>
        <bgColor rgb="FF1F3864"/>
      </patternFill>
    </fill>
    <fill>
      <patternFill patternType="solid">
        <fgColor theme="2" tint="-0.14999847407452621"/>
        <bgColor rgb="FF0B5394"/>
      </patternFill>
    </fill>
  </fills>
  <borders count="30">
    <border>
      <left/>
      <right/>
      <top/>
      <bottom/>
      <diagonal/>
    </border>
    <border>
      <left/>
      <right/>
      <top/>
      <bottom/>
      <diagonal/>
    </border>
    <border>
      <left/>
      <right/>
      <top/>
      <bottom/>
      <diagonal/>
    </border>
    <border>
      <left/>
      <right/>
      <top/>
      <bottom/>
      <diagonal/>
    </border>
    <border>
      <left/>
      <right/>
      <top/>
      <bottom style="thin">
        <color theme="0"/>
      </bottom>
      <diagonal/>
    </border>
    <border>
      <left style="thin">
        <color rgb="FFFFFFFF"/>
      </left>
      <right/>
      <top style="thin">
        <color rgb="FFFFFFFF"/>
      </top>
      <bottom/>
      <diagonal/>
    </border>
    <border>
      <left/>
      <right/>
      <top style="thin">
        <color rgb="FFFFFFFF"/>
      </top>
      <bottom/>
      <diagonal/>
    </border>
    <border>
      <left/>
      <right/>
      <top style="thin">
        <color rgb="FFFFFFFF"/>
      </top>
      <bottom/>
      <diagonal/>
    </border>
    <border>
      <left style="thick">
        <color theme="0"/>
      </left>
      <right/>
      <top style="thick">
        <color theme="0"/>
      </top>
      <bottom/>
      <diagonal/>
    </border>
    <border>
      <left/>
      <right style="thick">
        <color theme="0"/>
      </right>
      <top style="thick">
        <color theme="0"/>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top/>
      <bottom style="thin">
        <color rgb="FFFFFFFF"/>
      </bottom>
      <diagonal/>
    </border>
    <border>
      <left style="thick">
        <color theme="0"/>
      </left>
      <right/>
      <top/>
      <bottom style="thick">
        <color theme="0"/>
      </bottom>
      <diagonal/>
    </border>
    <border>
      <left/>
      <right style="thick">
        <color theme="0"/>
      </right>
      <top/>
      <bottom style="thick">
        <color theme="0"/>
      </bottom>
      <diagonal/>
    </border>
    <border>
      <left/>
      <right/>
      <top/>
      <bottom style="thin">
        <color rgb="FFFFFFFF"/>
      </bottom>
      <diagonal/>
    </border>
    <border>
      <left/>
      <right style="thin">
        <color rgb="FFFFFFFF"/>
      </right>
      <top/>
      <bottom style="thin">
        <color rgb="FFFFFFFF"/>
      </bottom>
      <diagonal/>
    </border>
    <border>
      <left style="thin">
        <color rgb="FFFFFFFF"/>
      </left>
      <right/>
      <top/>
      <bottom/>
      <diagonal/>
    </border>
    <border>
      <left/>
      <right/>
      <top/>
      <bottom/>
      <diagonal/>
    </border>
    <border>
      <left/>
      <right style="dotted">
        <color rgb="FF000000"/>
      </right>
      <top/>
      <bottom/>
      <diagonal/>
    </border>
    <border>
      <left style="thin">
        <color rgb="FF000000"/>
      </left>
      <right style="thin">
        <color rgb="FF000000"/>
      </right>
      <top style="thin">
        <color rgb="FF000000"/>
      </top>
      <bottom style="thin">
        <color rgb="FF000000"/>
      </bottom>
      <diagonal/>
    </border>
    <border>
      <left style="thin">
        <color rgb="FF8EAADB"/>
      </left>
      <right/>
      <top style="thin">
        <color rgb="FF8EAADB"/>
      </top>
      <bottom/>
      <diagonal/>
    </border>
    <border>
      <left/>
      <right/>
      <top style="thin">
        <color rgb="FF8EAADB"/>
      </top>
      <bottom/>
      <diagonal/>
    </border>
    <border>
      <left style="thin">
        <color rgb="FF8EAADB"/>
      </left>
      <right/>
      <top style="thin">
        <color rgb="FF8EAADB"/>
      </top>
      <bottom/>
      <diagonal/>
    </border>
    <border>
      <left/>
      <right style="thin">
        <color rgb="FF8EAADB"/>
      </right>
      <top style="thin">
        <color rgb="FF8EAADB"/>
      </top>
      <bottom/>
      <diagonal/>
    </border>
    <border>
      <left style="thin">
        <color rgb="FF8EAADB"/>
      </left>
      <right/>
      <top style="thin">
        <color rgb="FF8EAADB"/>
      </top>
      <bottom style="thin">
        <color rgb="FF8EAADB"/>
      </bottom>
      <diagonal/>
    </border>
    <border>
      <left/>
      <right/>
      <top style="thin">
        <color rgb="FF8EAADB"/>
      </top>
      <bottom style="thin">
        <color rgb="FF8EAADB"/>
      </bottom>
      <diagonal/>
    </border>
    <border>
      <left/>
      <right style="thin">
        <color rgb="FF8EAADB"/>
      </right>
      <top style="thin">
        <color rgb="FF8EAADB"/>
      </top>
      <bottom style="thin">
        <color rgb="FF8EAADB"/>
      </bottom>
      <diagonal/>
    </border>
  </borders>
  <cellStyleXfs count="1">
    <xf numFmtId="0" fontId="0" fillId="0" borderId="0"/>
  </cellStyleXfs>
  <cellXfs count="93">
    <xf numFmtId="0" fontId="0" fillId="0" borderId="0" xfId="0"/>
    <xf numFmtId="0" fontId="1" fillId="2" borderId="1" xfId="0" applyFont="1" applyFill="1" applyBorder="1" applyAlignment="1">
      <alignment horizontal="center"/>
    </xf>
    <xf numFmtId="0" fontId="1" fillId="2" borderId="4" xfId="0" applyFont="1" applyFill="1" applyBorder="1" applyAlignment="1">
      <alignment horizontal="center"/>
    </xf>
    <xf numFmtId="0" fontId="0" fillId="2" borderId="1" xfId="0" applyFill="1" applyBorder="1"/>
    <xf numFmtId="17" fontId="8" fillId="2" borderId="1" xfId="0" applyNumberFormat="1" applyFont="1" applyFill="1" applyBorder="1"/>
    <xf numFmtId="17" fontId="9" fillId="2" borderId="1" xfId="0" applyNumberFormat="1" applyFont="1" applyFill="1" applyBorder="1"/>
    <xf numFmtId="17" fontId="1" fillId="2" borderId="1" xfId="0" applyNumberFormat="1" applyFont="1" applyFill="1" applyBorder="1"/>
    <xf numFmtId="17" fontId="1" fillId="2" borderId="21" xfId="0" applyNumberFormat="1" applyFont="1" applyFill="1" applyBorder="1"/>
    <xf numFmtId="0" fontId="10" fillId="0" borderId="0" xfId="0" applyFont="1"/>
    <xf numFmtId="1" fontId="11" fillId="3" borderId="1" xfId="0" applyNumberFormat="1" applyFont="1" applyFill="1" applyBorder="1" applyAlignment="1">
      <alignment vertical="center"/>
    </xf>
    <xf numFmtId="1" fontId="11" fillId="0" borderId="0" xfId="0" applyNumberFormat="1" applyFont="1" applyAlignment="1">
      <alignment vertical="center"/>
    </xf>
    <xf numFmtId="9" fontId="12" fillId="4" borderId="1" xfId="0" applyNumberFormat="1" applyFont="1" applyFill="1" applyBorder="1"/>
    <xf numFmtId="164" fontId="11" fillId="3" borderId="1" xfId="0" applyNumberFormat="1" applyFont="1" applyFill="1" applyBorder="1" applyAlignment="1">
      <alignment vertical="center"/>
    </xf>
    <xf numFmtId="164" fontId="11" fillId="0" borderId="0" xfId="0" applyNumberFormat="1" applyFont="1" applyAlignment="1">
      <alignment vertical="center"/>
    </xf>
    <xf numFmtId="0" fontId="13" fillId="0" borderId="0" xfId="0" applyFont="1"/>
    <xf numFmtId="164" fontId="0" fillId="3" borderId="1" xfId="0" applyNumberFormat="1" applyFill="1" applyBorder="1" applyAlignment="1">
      <alignment vertical="center"/>
    </xf>
    <xf numFmtId="164" fontId="0" fillId="0" borderId="0" xfId="0" applyNumberFormat="1" applyAlignment="1">
      <alignment vertical="center"/>
    </xf>
    <xf numFmtId="0" fontId="12" fillId="4" borderId="1" xfId="0" applyFont="1" applyFill="1" applyBorder="1"/>
    <xf numFmtId="9" fontId="0" fillId="4" borderId="1" xfId="0" applyNumberFormat="1" applyFill="1" applyBorder="1"/>
    <xf numFmtId="0" fontId="12" fillId="0" borderId="0" xfId="0" applyFont="1"/>
    <xf numFmtId="9" fontId="0" fillId="3" borderId="1" xfId="0" applyNumberFormat="1" applyFill="1" applyBorder="1"/>
    <xf numFmtId="9" fontId="12" fillId="3" borderId="1" xfId="0" applyNumberFormat="1" applyFont="1" applyFill="1" applyBorder="1"/>
    <xf numFmtId="9" fontId="12" fillId="0" borderId="0" xfId="0" applyNumberFormat="1" applyFont="1"/>
    <xf numFmtId="0" fontId="12" fillId="5" borderId="1" xfId="0" applyFont="1" applyFill="1" applyBorder="1"/>
    <xf numFmtId="9" fontId="12" fillId="5" borderId="1" xfId="0" applyNumberFormat="1" applyFont="1" applyFill="1" applyBorder="1"/>
    <xf numFmtId="0" fontId="14" fillId="0" borderId="0" xfId="0" applyFont="1"/>
    <xf numFmtId="164" fontId="13" fillId="3" borderId="1" xfId="0" applyNumberFormat="1" applyFont="1" applyFill="1" applyBorder="1" applyAlignment="1">
      <alignment vertical="center"/>
    </xf>
    <xf numFmtId="164" fontId="13" fillId="0" borderId="0" xfId="0" applyNumberFormat="1" applyFont="1" applyAlignment="1">
      <alignment vertical="center"/>
    </xf>
    <xf numFmtId="0" fontId="4" fillId="0" borderId="0" xfId="0" applyFont="1" applyAlignment="1">
      <alignment horizontal="left"/>
    </xf>
    <xf numFmtId="1" fontId="11" fillId="5" borderId="1" xfId="0" applyNumberFormat="1" applyFont="1" applyFill="1" applyBorder="1" applyAlignment="1">
      <alignment vertical="center"/>
    </xf>
    <xf numFmtId="164" fontId="15" fillId="3" borderId="1" xfId="0" applyNumberFormat="1" applyFont="1" applyFill="1" applyBorder="1" applyAlignment="1">
      <alignment vertical="center"/>
    </xf>
    <xf numFmtId="164" fontId="15" fillId="0" borderId="0" xfId="0" applyNumberFormat="1" applyFont="1" applyAlignment="1">
      <alignment vertical="center"/>
    </xf>
    <xf numFmtId="9" fontId="0" fillId="6" borderId="1" xfId="0" applyNumberFormat="1" applyFill="1" applyBorder="1"/>
    <xf numFmtId="9" fontId="12" fillId="6" borderId="1" xfId="0" applyNumberFormat="1" applyFont="1" applyFill="1" applyBorder="1"/>
    <xf numFmtId="164" fontId="11" fillId="6" borderId="1" xfId="0" applyNumberFormat="1" applyFont="1" applyFill="1" applyBorder="1" applyAlignment="1">
      <alignment vertical="center"/>
    </xf>
    <xf numFmtId="164" fontId="0" fillId="6" borderId="1" xfId="0" applyNumberFormat="1" applyFill="1" applyBorder="1" applyAlignment="1">
      <alignment vertical="center"/>
    </xf>
    <xf numFmtId="0" fontId="0" fillId="5" borderId="1" xfId="0" applyFill="1" applyBorder="1"/>
    <xf numFmtId="164" fontId="11" fillId="5" borderId="1" xfId="0" applyNumberFormat="1" applyFont="1" applyFill="1" applyBorder="1" applyAlignment="1">
      <alignment vertical="center"/>
    </xf>
    <xf numFmtId="0" fontId="16" fillId="0" borderId="22" xfId="0" applyFont="1" applyBorder="1" applyAlignment="1">
      <alignment horizontal="center" vertical="center" wrapText="1"/>
    </xf>
    <xf numFmtId="9" fontId="16" fillId="0" borderId="22" xfId="0" applyNumberFormat="1" applyFont="1" applyBorder="1" applyAlignment="1">
      <alignment horizontal="center" vertical="center"/>
    </xf>
    <xf numFmtId="165" fontId="16" fillId="0" borderId="22" xfId="0" applyNumberFormat="1" applyFont="1" applyBorder="1" applyAlignment="1">
      <alignment horizontal="center" vertical="center"/>
    </xf>
    <xf numFmtId="2" fontId="16" fillId="0" borderId="22" xfId="0" applyNumberFormat="1" applyFont="1" applyBorder="1" applyAlignment="1">
      <alignment horizontal="center" vertical="center"/>
    </xf>
    <xf numFmtId="9" fontId="0" fillId="0" borderId="0" xfId="0" applyNumberFormat="1"/>
    <xf numFmtId="166" fontId="0" fillId="0" borderId="0" xfId="0" applyNumberFormat="1"/>
    <xf numFmtId="1" fontId="0" fillId="0" borderId="0" xfId="0" applyNumberFormat="1"/>
    <xf numFmtId="2" fontId="10" fillId="0" borderId="0" xfId="0" applyNumberFormat="1" applyFont="1"/>
    <xf numFmtId="17" fontId="0" fillId="0" borderId="0" xfId="0" applyNumberFormat="1"/>
    <xf numFmtId="17" fontId="8" fillId="2" borderId="23" xfId="0" applyNumberFormat="1" applyFont="1" applyFill="1" applyBorder="1"/>
    <xf numFmtId="49" fontId="0" fillId="8" borderId="23" xfId="0" applyNumberFormat="1" applyFill="1" applyBorder="1"/>
    <xf numFmtId="2" fontId="11" fillId="3" borderId="24" xfId="0" applyNumberFormat="1" applyFont="1" applyFill="1" applyBorder="1" applyAlignment="1">
      <alignment vertical="center"/>
    </xf>
    <xf numFmtId="49" fontId="0" fillId="0" borderId="25" xfId="0" applyNumberFormat="1" applyBorder="1"/>
    <xf numFmtId="9" fontId="11" fillId="3" borderId="24" xfId="0" applyNumberFormat="1" applyFont="1" applyFill="1" applyBorder="1" applyAlignment="1">
      <alignment vertical="center"/>
    </xf>
    <xf numFmtId="9" fontId="11" fillId="3" borderId="26" xfId="0" applyNumberFormat="1" applyFont="1" applyFill="1" applyBorder="1" applyAlignment="1">
      <alignment vertical="center"/>
    </xf>
    <xf numFmtId="165" fontId="11" fillId="3" borderId="24" xfId="0" applyNumberFormat="1" applyFont="1" applyFill="1" applyBorder="1" applyAlignment="1">
      <alignment vertical="center"/>
    </xf>
    <xf numFmtId="1" fontId="11" fillId="3" borderId="24" xfId="0" applyNumberFormat="1" applyFont="1" applyFill="1" applyBorder="1" applyAlignment="1">
      <alignment vertical="center"/>
    </xf>
    <xf numFmtId="1" fontId="11" fillId="3" borderId="26" xfId="0" applyNumberFormat="1" applyFont="1" applyFill="1" applyBorder="1" applyAlignment="1">
      <alignment vertical="center"/>
    </xf>
    <xf numFmtId="49" fontId="13" fillId="0" borderId="25" xfId="0" applyNumberFormat="1" applyFont="1" applyBorder="1"/>
    <xf numFmtId="49" fontId="12" fillId="4" borderId="23" xfId="0" applyNumberFormat="1" applyFont="1" applyFill="1" applyBorder="1"/>
    <xf numFmtId="49" fontId="4" fillId="8" borderId="23" xfId="0" applyNumberFormat="1" applyFont="1" applyFill="1" applyBorder="1" applyAlignment="1">
      <alignment horizontal="left"/>
    </xf>
    <xf numFmtId="49" fontId="4" fillId="0" borderId="25" xfId="0" applyNumberFormat="1" applyFont="1" applyBorder="1" applyAlignment="1">
      <alignment horizontal="left"/>
    </xf>
    <xf numFmtId="0" fontId="0" fillId="8" borderId="23" xfId="0" applyFill="1" applyBorder="1"/>
    <xf numFmtId="165" fontId="11" fillId="3" borderId="26" xfId="0" applyNumberFormat="1" applyFont="1" applyFill="1" applyBorder="1" applyAlignment="1">
      <alignment vertical="center"/>
    </xf>
    <xf numFmtId="0" fontId="0" fillId="0" borderId="25" xfId="0" applyBorder="1"/>
    <xf numFmtId="0" fontId="11" fillId="3" borderId="24" xfId="0" applyFont="1" applyFill="1" applyBorder="1" applyAlignment="1">
      <alignment vertical="center"/>
    </xf>
    <xf numFmtId="0" fontId="11" fillId="3" borderId="26" xfId="0" applyFont="1" applyFill="1" applyBorder="1" applyAlignment="1">
      <alignment vertical="center"/>
    </xf>
    <xf numFmtId="2" fontId="11" fillId="3" borderId="26" xfId="0" applyNumberFormat="1" applyFont="1" applyFill="1" applyBorder="1" applyAlignment="1">
      <alignment vertical="center"/>
    </xf>
    <xf numFmtId="0" fontId="0" fillId="0" borderId="27" xfId="0" applyBorder="1"/>
    <xf numFmtId="165" fontId="11" fillId="3" borderId="28" xfId="0" applyNumberFormat="1" applyFont="1" applyFill="1" applyBorder="1" applyAlignment="1">
      <alignment vertical="center"/>
    </xf>
    <xf numFmtId="165" fontId="11" fillId="3" borderId="29" xfId="0" applyNumberFormat="1" applyFont="1" applyFill="1" applyBorder="1" applyAlignment="1">
      <alignment vertical="center"/>
    </xf>
    <xf numFmtId="165" fontId="0" fillId="0" borderId="0" xfId="0" applyNumberFormat="1"/>
    <xf numFmtId="2" fontId="0" fillId="0" borderId="0" xfId="0" applyNumberFormat="1"/>
    <xf numFmtId="0" fontId="0" fillId="7" borderId="2" xfId="0" applyFill="1" applyBorder="1" applyAlignment="1">
      <alignment horizontal="left" vertical="center" wrapText="1"/>
    </xf>
    <xf numFmtId="0" fontId="3" fillId="0" borderId="20" xfId="0" applyFont="1" applyBorder="1"/>
    <xf numFmtId="0" fontId="3" fillId="0" borderId="3" xfId="0" applyFont="1" applyBorder="1"/>
    <xf numFmtId="0" fontId="5" fillId="2" borderId="5" xfId="0" applyFont="1" applyFill="1" applyBorder="1" applyAlignment="1">
      <alignment horizontal="center" vertical="center"/>
    </xf>
    <xf numFmtId="0" fontId="3" fillId="0" borderId="6" xfId="0" applyFont="1" applyBorder="1"/>
    <xf numFmtId="0" fontId="3" fillId="0" borderId="7" xfId="0" applyFont="1" applyBorder="1"/>
    <xf numFmtId="0" fontId="3" fillId="0" borderId="12" xfId="0" applyFont="1" applyBorder="1"/>
    <xf numFmtId="0" fontId="3" fillId="0" borderId="13" xfId="0" applyFont="1" applyBorder="1"/>
    <xf numFmtId="0" fontId="3" fillId="0" borderId="14" xfId="0" applyFont="1" applyBorder="1"/>
    <xf numFmtId="17" fontId="6" fillId="2" borderId="8" xfId="0" applyNumberFormat="1" applyFont="1" applyFill="1" applyBorder="1" applyAlignment="1">
      <alignment horizontal="center" vertical="center"/>
    </xf>
    <xf numFmtId="0" fontId="3" fillId="0" borderId="9" xfId="0" applyFont="1" applyBorder="1"/>
    <xf numFmtId="0" fontId="3" fillId="0" borderId="15" xfId="0" applyFont="1" applyBorder="1"/>
    <xf numFmtId="0" fontId="3" fillId="0" borderId="16" xfId="0" applyFont="1" applyBorder="1"/>
    <xf numFmtId="0" fontId="1" fillId="2" borderId="10" xfId="0" applyFont="1" applyFill="1" applyBorder="1" applyAlignment="1">
      <alignment horizontal="center"/>
    </xf>
    <xf numFmtId="0" fontId="3" fillId="0" borderId="11" xfId="0" applyFont="1" applyBorder="1"/>
    <xf numFmtId="0" fontId="3" fillId="0" borderId="17" xfId="0" applyFont="1" applyBorder="1"/>
    <xf numFmtId="0" fontId="3" fillId="0" borderId="18" xfId="0" applyFont="1" applyBorder="1"/>
    <xf numFmtId="0" fontId="2" fillId="2" borderId="2" xfId="0" applyFont="1" applyFill="1" applyBorder="1" applyAlignment="1">
      <alignment horizontal="center"/>
    </xf>
    <xf numFmtId="0" fontId="7" fillId="9" borderId="10" xfId="0" applyFont="1" applyFill="1" applyBorder="1" applyAlignment="1">
      <alignment horizontal="center"/>
    </xf>
    <xf numFmtId="0" fontId="7" fillId="9" borderId="11" xfId="0" applyFont="1" applyFill="1" applyBorder="1" applyAlignment="1">
      <alignment horizontal="center"/>
    </xf>
    <xf numFmtId="0" fontId="13" fillId="10" borderId="19" xfId="0" applyFont="1" applyFill="1" applyBorder="1" applyAlignment="1">
      <alignment horizontal="center"/>
    </xf>
    <xf numFmtId="0" fontId="13" fillId="10" borderId="2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lineChart>
        <c:grouping val="standard"/>
        <c:varyColors val="1"/>
        <c:ser>
          <c:idx val="0"/>
          <c:order val="0"/>
          <c:tx>
            <c:v>Total de Clientes</c:v>
          </c:tx>
          <c:spPr>
            <a:ln w="28575" cmpd="sng">
              <a:solidFill>
                <a:schemeClr val="accent1"/>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dados'!$B$3:$AW$3</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0-9E9F-AE4E-B9CD-87DD3079E56F}"/>
            </c:ext>
          </c:extLst>
        </c:ser>
        <c:ser>
          <c:idx val="1"/>
          <c:order val="1"/>
          <c:tx>
            <c:v>Clientes perdidos</c:v>
          </c:tx>
          <c:spPr>
            <a:ln w="28575" cmpd="sng">
              <a:solidFill>
                <a:schemeClr val="accent2"/>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dados'!$B$4:$AW$4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1-9E9F-AE4E-B9CD-87DD3079E56F}"/>
            </c:ext>
          </c:extLst>
        </c:ser>
        <c:ser>
          <c:idx val="2"/>
          <c:order val="2"/>
          <c:tx>
            <c:v>Novos clientes</c:v>
          </c:tx>
          <c:spPr>
            <a:ln w="28575" cmpd="sng">
              <a:solidFill>
                <a:schemeClr val="accent3"/>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dados'!$B$5:$AW$5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2-9E9F-AE4E-B9CD-87DD3079E56F}"/>
            </c:ext>
          </c:extLst>
        </c:ser>
        <c:ser>
          <c:idx val="3"/>
          <c:order val="3"/>
          <c:tx>
            <c:v>Churn</c:v>
          </c:tx>
          <c:spPr>
            <a:ln w="28575" cmpd="sng">
              <a:solidFill>
                <a:schemeClr val="accent4"/>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dados'!$B$6:$AW$6</c:f>
              <c:numCache>
                <c:formatCode>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3-9E9F-AE4E-B9CD-87DD3079E56F}"/>
            </c:ext>
          </c:extLst>
        </c:ser>
        <c:ser>
          <c:idx val="4"/>
          <c:order val="4"/>
          <c:tx>
            <c:v>Receita Recorrente</c:v>
          </c:tx>
          <c:spPr>
            <a:ln w="28575" cmpd="sng">
              <a:solidFill>
                <a:schemeClr val="accent5"/>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dados'!$B$7:$AW$7</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04-9E9F-AE4E-B9CD-87DD3079E56F}"/>
            </c:ext>
          </c:extLst>
        </c:ser>
        <c:ser>
          <c:idx val="5"/>
          <c:order val="5"/>
          <c:tx>
            <c:v>Receita Não Recorrente</c:v>
          </c:tx>
          <c:spPr>
            <a:ln w="28575" cmpd="sng">
              <a:solidFill>
                <a:schemeClr val="accent6"/>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dados'!$B$8:$AW$8</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05-9E9F-AE4E-B9CD-87DD3079E56F}"/>
            </c:ext>
          </c:extLst>
        </c:ser>
        <c:ser>
          <c:idx val="6"/>
          <c:order val="6"/>
          <c:tx>
            <c:v>Receita Bruta</c:v>
          </c:tx>
          <c:spPr>
            <a:ln w="28575" cmpd="sng">
              <a:solidFill>
                <a:schemeClr val="accent1"/>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dados'!$B$9:$AW$9</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06-9E9F-AE4E-B9CD-87DD3079E56F}"/>
            </c:ext>
          </c:extLst>
        </c:ser>
        <c:ser>
          <c:idx val="7"/>
          <c:order val="7"/>
          <c:tx>
            <c:v>Taxa de Crescimento</c:v>
          </c:tx>
          <c:spPr>
            <a:ln w="28575" cmpd="sng">
              <a:solidFill>
                <a:schemeClr val="accent2"/>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dados'!$B$10:$AW$10</c:f>
              <c:numCache>
                <c:formatCode>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7-9E9F-AE4E-B9CD-87DD3079E56F}"/>
            </c:ext>
          </c:extLst>
        </c:ser>
        <c:ser>
          <c:idx val="8"/>
          <c:order val="8"/>
          <c:tx>
            <c:v>(-) Impostos</c:v>
          </c:tx>
          <c:spPr>
            <a:ln w="28575" cmpd="sng">
              <a:solidFill>
                <a:schemeClr val="accent3"/>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dados'!$B$11:$AW$11</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08-9E9F-AE4E-B9CD-87DD3079E56F}"/>
            </c:ext>
          </c:extLst>
        </c:ser>
        <c:ser>
          <c:idx val="9"/>
          <c:order val="9"/>
          <c:tx>
            <c:v>(-) Deduções</c:v>
          </c:tx>
          <c:spPr>
            <a:ln w="28575" cmpd="sng">
              <a:solidFill>
                <a:schemeClr val="accent4"/>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dados'!$B$12:$AW$12</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09-9E9F-AE4E-B9CD-87DD3079E56F}"/>
            </c:ext>
          </c:extLst>
        </c:ser>
        <c:ser>
          <c:idx val="10"/>
          <c:order val="10"/>
          <c:tx>
            <c:v>Receita Liquida</c:v>
          </c:tx>
          <c:spPr>
            <a:ln w="28575" cmpd="sng">
              <a:solidFill>
                <a:schemeClr val="accent5"/>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dados'!$B$13:$AW$13</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0A-9E9F-AE4E-B9CD-87DD3079E56F}"/>
            </c:ext>
          </c:extLst>
        </c:ser>
        <c:ser>
          <c:idx val="11"/>
          <c:order val="11"/>
          <c:tx>
            <c:v>(-) Custo do serviço prestado</c:v>
          </c:tx>
          <c:spPr>
            <a:ln w="28575" cmpd="sng">
              <a:solidFill>
                <a:schemeClr val="accent6"/>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dados'!$B$14:$AW$14</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0B-9E9F-AE4E-B9CD-87DD3079E56F}"/>
            </c:ext>
          </c:extLst>
        </c:ser>
        <c:ser>
          <c:idx val="12"/>
          <c:order val="12"/>
          <c:tx>
            <c:v>Lucro Bruto</c:v>
          </c:tx>
          <c:spPr>
            <a:ln w="28575" cmpd="sng">
              <a:solidFill>
                <a:schemeClr val="accent1"/>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dados'!$B$15:$AW$15</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0C-9E9F-AE4E-B9CD-87DD3079E56F}"/>
            </c:ext>
          </c:extLst>
        </c:ser>
        <c:ser>
          <c:idx val="13"/>
          <c:order val="13"/>
          <c:tx>
            <c:v>Margem Bruta</c:v>
          </c:tx>
          <c:spPr>
            <a:ln w="28575" cmpd="sng">
              <a:solidFill>
                <a:schemeClr val="accent2"/>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dados'!$B$16:$AW$16</c:f>
              <c:numCache>
                <c:formatCode>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E9F-AE4E-B9CD-87DD3079E56F}"/>
            </c:ext>
          </c:extLst>
        </c:ser>
        <c:ser>
          <c:idx val="14"/>
          <c:order val="14"/>
          <c:tx>
            <c:v>Despesas e custos</c:v>
          </c:tx>
          <c:spPr>
            <a:ln w="28575" cmpd="sng">
              <a:solidFill>
                <a:schemeClr val="accent3"/>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dados'!$B$17:$AW$17</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0E-9E9F-AE4E-B9CD-87DD3079E56F}"/>
            </c:ext>
          </c:extLst>
        </c:ser>
        <c:ser>
          <c:idx val="15"/>
          <c:order val="15"/>
          <c:tx>
            <c:v>Custos com TI</c:v>
          </c:tx>
          <c:spPr>
            <a:ln w="28575" cmpd="sng">
              <a:solidFill>
                <a:schemeClr val="accent4"/>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dados'!$B$18:$AW$18</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0F-9E9F-AE4E-B9CD-87DD3079E56F}"/>
            </c:ext>
          </c:extLst>
        </c:ser>
        <c:ser>
          <c:idx val="16"/>
          <c:order val="16"/>
          <c:tx>
            <c:v>Head count (TI)</c:v>
          </c:tx>
          <c:spPr>
            <a:ln w="28575" cmpd="sng">
              <a:solidFill>
                <a:schemeClr val="accent5"/>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dados'!$B$19:$AW$19</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0-9E9F-AE4E-B9CD-87DD3079E56F}"/>
            </c:ext>
          </c:extLst>
        </c:ser>
        <c:ser>
          <c:idx val="17"/>
          <c:order val="17"/>
          <c:tx>
            <c:v>Pessoal</c:v>
          </c:tx>
          <c:spPr>
            <a:ln w="28575" cmpd="sng">
              <a:solidFill>
                <a:schemeClr val="accent6"/>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dados'!$B$20:$AW$20</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1-9E9F-AE4E-B9CD-87DD3079E56F}"/>
            </c:ext>
          </c:extLst>
        </c:ser>
        <c:ser>
          <c:idx val="18"/>
          <c:order val="18"/>
          <c:tx>
            <c:v>Softwares</c:v>
          </c:tx>
          <c:spPr>
            <a:ln w="28575" cmpd="sng">
              <a:solidFill>
                <a:schemeClr val="accent1"/>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dados'!$B$21:$AW$21</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2-9E9F-AE4E-B9CD-87DD3079E56F}"/>
            </c:ext>
          </c:extLst>
        </c:ser>
        <c:ser>
          <c:idx val="19"/>
          <c:order val="19"/>
          <c:tx>
            <c:v>Outros</c:v>
          </c:tx>
          <c:spPr>
            <a:ln w="28575" cmpd="sng">
              <a:solidFill>
                <a:schemeClr val="accent2"/>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dados'!$B$22:$AW$22</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3-9E9F-AE4E-B9CD-87DD3079E56F}"/>
            </c:ext>
          </c:extLst>
        </c:ser>
        <c:ser>
          <c:idx val="20"/>
          <c:order val="20"/>
          <c:tx>
            <c:v>Custos Administrativos</c:v>
          </c:tx>
          <c:spPr>
            <a:ln w="28575" cmpd="sng">
              <a:solidFill>
                <a:schemeClr val="accent3"/>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dados'!$B$23:$AW$23</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4-9E9F-AE4E-B9CD-87DD3079E56F}"/>
            </c:ext>
          </c:extLst>
        </c:ser>
        <c:ser>
          <c:idx val="21"/>
          <c:order val="21"/>
          <c:tx>
            <c:v>Head count (ADM)</c:v>
          </c:tx>
          <c:spPr>
            <a:ln w="28575" cmpd="sng">
              <a:solidFill>
                <a:schemeClr val="accent4"/>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dados'!$B$24:$AW$24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5-9E9F-AE4E-B9CD-87DD3079E56F}"/>
            </c:ext>
          </c:extLst>
        </c:ser>
        <c:ser>
          <c:idx val="22"/>
          <c:order val="22"/>
          <c:tx>
            <c:v>Pessoal</c:v>
          </c:tx>
          <c:spPr>
            <a:ln w="28575" cmpd="sng">
              <a:solidFill>
                <a:schemeClr val="accent5"/>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dados'!$B$25:$AW$25</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6-9E9F-AE4E-B9CD-87DD3079E56F}"/>
            </c:ext>
          </c:extLst>
        </c:ser>
        <c:ser>
          <c:idx val="23"/>
          <c:order val="23"/>
          <c:tx>
            <c:v>Softwares</c:v>
          </c:tx>
          <c:spPr>
            <a:ln w="28575" cmpd="sng">
              <a:solidFill>
                <a:schemeClr val="accent6"/>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dados'!$B$26:$AW$26</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7-9E9F-AE4E-B9CD-87DD3079E56F}"/>
            </c:ext>
          </c:extLst>
        </c:ser>
        <c:ser>
          <c:idx val="24"/>
          <c:order val="24"/>
          <c:tx>
            <c:v>Outros</c:v>
          </c:tx>
          <c:spPr>
            <a:ln w="28575" cmpd="sng">
              <a:solidFill>
                <a:schemeClr val="accent1"/>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dados'!$B$27:$AW$27</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8-9E9F-AE4E-B9CD-87DD3079E56F}"/>
            </c:ext>
          </c:extLst>
        </c:ser>
        <c:ser>
          <c:idx val="25"/>
          <c:order val="25"/>
          <c:tx>
            <c:v>Comercial/Marketing</c:v>
          </c:tx>
          <c:spPr>
            <a:ln w="28575" cmpd="sng">
              <a:solidFill>
                <a:schemeClr val="accent2"/>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dados'!$B$28:$AW$28</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9-9E9F-AE4E-B9CD-87DD3079E56F}"/>
            </c:ext>
          </c:extLst>
        </c:ser>
        <c:ser>
          <c:idx val="26"/>
          <c:order val="26"/>
          <c:tx>
            <c:v>Head count (Comercial/Mkt)</c:v>
          </c:tx>
          <c:spPr>
            <a:ln w="28575" cmpd="sng">
              <a:solidFill>
                <a:schemeClr val="accent3"/>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dados'!$B$29:$AW$29</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A-9E9F-AE4E-B9CD-87DD3079E56F}"/>
            </c:ext>
          </c:extLst>
        </c:ser>
        <c:ser>
          <c:idx val="27"/>
          <c:order val="27"/>
          <c:tx>
            <c:v>Pessoal</c:v>
          </c:tx>
          <c:spPr>
            <a:ln w="28575" cmpd="sng">
              <a:solidFill>
                <a:schemeClr val="accent4"/>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dados'!$B$30:$AW$30</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B-9E9F-AE4E-B9CD-87DD3079E56F}"/>
            </c:ext>
          </c:extLst>
        </c:ser>
        <c:ser>
          <c:idx val="28"/>
          <c:order val="28"/>
          <c:tx>
            <c:v>Softwares</c:v>
          </c:tx>
          <c:spPr>
            <a:ln w="28575" cmpd="sng">
              <a:solidFill>
                <a:schemeClr val="accent5"/>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dados'!$B$31:$AW$31</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C-9E9F-AE4E-B9CD-87DD3079E56F}"/>
            </c:ext>
          </c:extLst>
        </c:ser>
        <c:ser>
          <c:idx val="29"/>
          <c:order val="29"/>
          <c:tx>
            <c:v>Outros</c:v>
          </c:tx>
          <c:spPr>
            <a:ln w="28575" cmpd="sng">
              <a:solidFill>
                <a:schemeClr val="accent6"/>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dados'!$B$32:$AW$32</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D-9E9F-AE4E-B9CD-87DD3079E56F}"/>
            </c:ext>
          </c:extLst>
        </c:ser>
        <c:ser>
          <c:idx val="30"/>
          <c:order val="30"/>
          <c:tx>
            <c:v>Outros Resultados Operacionais (+/-)</c:v>
          </c:tx>
          <c:spPr>
            <a:ln w="28575" cmpd="sng">
              <a:solidFill>
                <a:schemeClr val="accent1"/>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dados'!$B$33:$AW$33</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E-9E9F-AE4E-B9CD-87DD3079E56F}"/>
            </c:ext>
          </c:extLst>
        </c:ser>
        <c:ser>
          <c:idx val="31"/>
          <c:order val="31"/>
          <c:tx>
            <c:v>EBIT</c:v>
          </c:tx>
          <c:spPr>
            <a:ln w="28575" cmpd="sng">
              <a:solidFill>
                <a:schemeClr val="accent2"/>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dados'!$B$34:$AW$34</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1F-9E9F-AE4E-B9CD-87DD3079E56F}"/>
            </c:ext>
          </c:extLst>
        </c:ser>
        <c:ser>
          <c:idx val="32"/>
          <c:order val="32"/>
          <c:tx>
            <c:v>Margem EBIT</c:v>
          </c:tx>
          <c:spPr>
            <a:ln w="28575" cmpd="sng">
              <a:solidFill>
                <a:schemeClr val="accent3"/>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dados'!$B$35:$AW$35</c:f>
              <c:numCache>
                <c:formatCode>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20-9E9F-AE4E-B9CD-87DD3079E56F}"/>
            </c:ext>
          </c:extLst>
        </c:ser>
        <c:ser>
          <c:idx val="33"/>
          <c:order val="33"/>
          <c:tx>
            <c:v>Resultado Financeiro (+/-)</c:v>
          </c:tx>
          <c:spPr>
            <a:ln w="28575" cmpd="sng">
              <a:solidFill>
                <a:schemeClr val="accent4"/>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dados'!$B$36:$AW$36</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21-9E9F-AE4E-B9CD-87DD3079E56F}"/>
            </c:ext>
          </c:extLst>
        </c:ser>
        <c:ser>
          <c:idx val="34"/>
          <c:order val="34"/>
          <c:tx>
            <c:v>Imposto Sobre O Lucro</c:v>
          </c:tx>
          <c:spPr>
            <a:ln w="28575" cmpd="sng">
              <a:solidFill>
                <a:schemeClr val="accent5"/>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dados'!$B$37:$AW$37</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22-9E9F-AE4E-B9CD-87DD3079E56F}"/>
            </c:ext>
          </c:extLst>
        </c:ser>
        <c:ser>
          <c:idx val="35"/>
          <c:order val="35"/>
          <c:tx>
            <c:v>Lucro Líquido</c:v>
          </c:tx>
          <c:spPr>
            <a:ln w="28575" cmpd="sng">
              <a:solidFill>
                <a:schemeClr val="accent6"/>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dados'!$B$38:$AW$38</c:f>
              <c:numCache>
                <c:formatCode>"R$"\ #,##0.00</c:formatCode>
                <c:ptCount val="48"/>
                <c:pt idx="0">
                  <c:v>0</c:v>
                </c:pt>
                <c:pt idx="1">
                  <c:v>0</c:v>
                </c:pt>
                <c:pt idx="2">
                  <c:v>0</c:v>
                </c:pt>
                <c:pt idx="3">
                  <c:v>0</c:v>
                </c:pt>
                <c:pt idx="4">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pt idx="32" formatCode="0">
                  <c:v>0</c:v>
                </c:pt>
                <c:pt idx="33" formatCode="0">
                  <c:v>0</c:v>
                </c:pt>
                <c:pt idx="34" formatCode="0">
                  <c:v>0</c:v>
                </c:pt>
                <c:pt idx="35" formatCode="0">
                  <c:v>0</c:v>
                </c:pt>
                <c:pt idx="36" formatCode="0">
                  <c:v>0</c:v>
                </c:pt>
                <c:pt idx="37" formatCode="0">
                  <c:v>0</c:v>
                </c:pt>
                <c:pt idx="38" formatCode="0">
                  <c:v>0</c:v>
                </c:pt>
                <c:pt idx="39" formatCode="0">
                  <c:v>0</c:v>
                </c:pt>
                <c:pt idx="40" formatCode="0">
                  <c:v>0</c:v>
                </c:pt>
                <c:pt idx="41" formatCode="0">
                  <c:v>0</c:v>
                </c:pt>
                <c:pt idx="42" formatCode="0">
                  <c:v>0</c:v>
                </c:pt>
                <c:pt idx="43" formatCode="0">
                  <c:v>0</c:v>
                </c:pt>
                <c:pt idx="44" formatCode="0">
                  <c:v>0</c:v>
                </c:pt>
                <c:pt idx="45" formatCode="0">
                  <c:v>0</c:v>
                </c:pt>
                <c:pt idx="46" formatCode="0">
                  <c:v>0</c:v>
                </c:pt>
                <c:pt idx="47" formatCode="0">
                  <c:v>0</c:v>
                </c:pt>
              </c:numCache>
            </c:numRef>
          </c:val>
          <c:smooth val="0"/>
          <c:extLst>
            <c:ext xmlns:c16="http://schemas.microsoft.com/office/drawing/2014/chart" uri="{C3380CC4-5D6E-409C-BE32-E72D297353CC}">
              <c16:uniqueId val="{00000023-9E9F-AE4E-B9CD-87DD3079E56F}"/>
            </c:ext>
          </c:extLst>
        </c:ser>
        <c:ser>
          <c:idx val="36"/>
          <c:order val="36"/>
          <c:tx>
            <c:v>CAC Mensal</c:v>
          </c:tx>
          <c:spPr>
            <a:ln w="28575" cmpd="sng">
              <a:solidFill>
                <a:schemeClr val="accent1"/>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dados'!$B$39:$AW$39</c:f>
              <c:numCache>
                <c:formatCode>"R$"\ #,##0.00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24-9E9F-AE4E-B9CD-87DD3079E56F}"/>
            </c:ext>
          </c:extLst>
        </c:ser>
        <c:ser>
          <c:idx val="37"/>
          <c:order val="37"/>
          <c:tx>
            <c:v>LTV Mensal</c:v>
          </c:tx>
          <c:spPr>
            <a:ln w="28575" cmpd="sng">
              <a:solidFill>
                <a:schemeClr val="accent2"/>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dados'!$B$40:$AW$40</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25-9E9F-AE4E-B9CD-87DD3079E56F}"/>
            </c:ext>
          </c:extLst>
        </c:ser>
        <c:ser>
          <c:idx val="38"/>
          <c:order val="38"/>
          <c:tx>
            <c:v>LTV/CAC Mensal</c:v>
          </c:tx>
          <c:spPr>
            <a:ln w="28575" cmpd="sng">
              <a:solidFill>
                <a:schemeClr val="accent3"/>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dados'!$B$41:$AW$41</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26-9E9F-AE4E-B9CD-87DD3079E56F}"/>
            </c:ext>
          </c:extLst>
        </c:ser>
        <c:ser>
          <c:idx val="39"/>
          <c:order val="39"/>
          <c:tx>
            <c:v>TICKET MÉDIO</c:v>
          </c:tx>
          <c:spPr>
            <a:ln w="28575" cmpd="sng">
              <a:solidFill>
                <a:schemeClr val="accent4"/>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dados'!$B$42:$AW$42</c:f>
              <c:numCache>
                <c:formatCode>"R$"\ #,##0.00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27-9E9F-AE4E-B9CD-87DD3079E56F}"/>
            </c:ext>
          </c:extLst>
        </c:ser>
        <c:ser>
          <c:idx val="40"/>
          <c:order val="40"/>
          <c:tx>
            <c:v>CAC (6 Meses)</c:v>
          </c:tx>
          <c:spPr>
            <a:ln w="28575" cmpd="sng">
              <a:solidFill>
                <a:schemeClr val="accent5"/>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dados'!$B$43:$AW$43</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28-9E9F-AE4E-B9CD-87DD3079E56F}"/>
            </c:ext>
          </c:extLst>
        </c:ser>
        <c:ser>
          <c:idx val="41"/>
          <c:order val="41"/>
          <c:tx>
            <c:v>LTV (6 Meses)</c:v>
          </c:tx>
          <c:spPr>
            <a:ln w="28575" cmpd="sng">
              <a:solidFill>
                <a:schemeClr val="accent6"/>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dados'!$B$44:$AW$44</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29-9E9F-AE4E-B9CD-87DD3079E56F}"/>
            </c:ext>
          </c:extLst>
        </c:ser>
        <c:ser>
          <c:idx val="42"/>
          <c:order val="42"/>
          <c:tx>
            <c:v>CAC (3 Meses)</c:v>
          </c:tx>
          <c:spPr>
            <a:ln w="28575" cmpd="sng">
              <a:solidFill>
                <a:schemeClr val="accent1"/>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dados'!$B$45:$AW$45</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2A-9E9F-AE4E-B9CD-87DD3079E56F}"/>
            </c:ext>
          </c:extLst>
        </c:ser>
        <c:ser>
          <c:idx val="43"/>
          <c:order val="43"/>
          <c:tx>
            <c:v>LTV (3 Meses)</c:v>
          </c:tx>
          <c:spPr>
            <a:ln w="28575" cmpd="sng">
              <a:solidFill>
                <a:schemeClr val="accent2"/>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dados'!$B$46:$AW$46</c:f>
              <c:numCache>
                <c:formatCode>"R$"\ #,##0.00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2B-9E9F-AE4E-B9CD-87DD3079E56F}"/>
            </c:ext>
          </c:extLst>
        </c:ser>
        <c:ser>
          <c:idx val="44"/>
          <c:order val="44"/>
          <c:tx>
            <c:v>CAC (12 Meses)</c:v>
          </c:tx>
          <c:spPr>
            <a:ln w="28575" cmpd="sng">
              <a:solidFill>
                <a:schemeClr val="accent3"/>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dados'!$B$47:$AW$47</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2C-9E9F-AE4E-B9CD-87DD3079E56F}"/>
            </c:ext>
          </c:extLst>
        </c:ser>
        <c:ser>
          <c:idx val="45"/>
          <c:order val="45"/>
          <c:tx>
            <c:v>LTV (12 Meses)</c:v>
          </c:tx>
          <c:spPr>
            <a:ln w="28575" cmpd="sng">
              <a:solidFill>
                <a:schemeClr val="accent4"/>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dados'!$B$48:$AW$48</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2D-9E9F-AE4E-B9CD-87DD3079E56F}"/>
            </c:ext>
          </c:extLst>
        </c:ser>
        <c:ser>
          <c:idx val="46"/>
          <c:order val="46"/>
          <c:tx>
            <c:v>Churn (3 Meses)</c:v>
          </c:tx>
          <c:spPr>
            <a:ln w="28575" cmpd="sng">
              <a:solidFill>
                <a:schemeClr val="accent5"/>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dados'!$B$49:$AW$49</c:f>
              <c:numCache>
                <c:formatCode>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2E-9E9F-AE4E-B9CD-87DD3079E56F}"/>
            </c:ext>
          </c:extLst>
        </c:ser>
        <c:ser>
          <c:idx val="47"/>
          <c:order val="47"/>
          <c:tx>
            <c:v>Churn (6 Meses)</c:v>
          </c:tx>
          <c:spPr>
            <a:ln w="28575" cmpd="sng">
              <a:solidFill>
                <a:schemeClr val="accent6"/>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dados'!$B$50:$AW$50</c:f>
              <c:numCache>
                <c:formatCode>0%</c:formatCode>
                <c:ptCount val="48"/>
                <c:pt idx="0">
                  <c:v>0</c:v>
                </c:pt>
                <c:pt idx="1">
                  <c:v>0</c:v>
                </c:pt>
                <c:pt idx="2">
                  <c:v>0</c:v>
                </c:pt>
                <c:pt idx="3">
                  <c:v>0</c:v>
                </c:pt>
                <c:pt idx="4" formatCode="General">
                  <c:v>0</c:v>
                </c:pt>
                <c:pt idx="5" formatCode="General">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c:v>0</c:v>
                </c:pt>
                <c:pt idx="20">
                  <c:v>0</c:v>
                </c:pt>
                <c:pt idx="21">
                  <c:v>0</c:v>
                </c:pt>
                <c:pt idx="22">
                  <c:v>0</c:v>
                </c:pt>
                <c:pt idx="23">
                  <c:v>0</c:v>
                </c:pt>
                <c:pt idx="24">
                  <c:v>0</c:v>
                </c:pt>
                <c:pt idx="25">
                  <c:v>0</c:v>
                </c:pt>
                <c:pt idx="26" formatCode="General">
                  <c:v>0</c:v>
                </c:pt>
                <c:pt idx="27" formatCode="General">
                  <c:v>0</c:v>
                </c:pt>
                <c:pt idx="28" formatCode="General">
                  <c:v>0</c:v>
                </c:pt>
                <c:pt idx="29" formatCode="General">
                  <c:v>0</c:v>
                </c:pt>
                <c:pt idx="30" formatCode="General">
                  <c:v>0</c:v>
                </c:pt>
                <c:pt idx="31" formatCode="General">
                  <c:v>0</c:v>
                </c:pt>
                <c:pt idx="32" formatCode="General">
                  <c:v>0</c:v>
                </c:pt>
                <c:pt idx="33" formatCode="General">
                  <c:v>0</c:v>
                </c:pt>
                <c:pt idx="34" formatCode="General">
                  <c:v>0</c:v>
                </c:pt>
                <c:pt idx="35" formatCode="General">
                  <c:v>0</c:v>
                </c:pt>
                <c:pt idx="36" formatCode="General">
                  <c:v>0</c:v>
                </c:pt>
                <c:pt idx="37" formatCode="General">
                  <c:v>0</c:v>
                </c:pt>
                <c:pt idx="38" formatCode="General">
                  <c:v>0</c:v>
                </c:pt>
                <c:pt idx="39" formatCode="General">
                  <c:v>0</c:v>
                </c:pt>
                <c:pt idx="40" formatCode="General">
                  <c:v>0</c:v>
                </c:pt>
                <c:pt idx="41" formatCode="General">
                  <c:v>0</c:v>
                </c:pt>
                <c:pt idx="42" formatCode="General">
                  <c:v>0</c:v>
                </c:pt>
                <c:pt idx="43" formatCode="General">
                  <c:v>0</c:v>
                </c:pt>
                <c:pt idx="44" formatCode="General">
                  <c:v>0</c:v>
                </c:pt>
                <c:pt idx="45" formatCode="General">
                  <c:v>0</c:v>
                </c:pt>
                <c:pt idx="46" formatCode="General">
                  <c:v>0</c:v>
                </c:pt>
                <c:pt idx="47" formatCode="General">
                  <c:v>0</c:v>
                </c:pt>
              </c:numCache>
            </c:numRef>
          </c:val>
          <c:smooth val="0"/>
          <c:extLst>
            <c:ext xmlns:c16="http://schemas.microsoft.com/office/drawing/2014/chart" uri="{C3380CC4-5D6E-409C-BE32-E72D297353CC}">
              <c16:uniqueId val="{0000002F-9E9F-AE4E-B9CD-87DD3079E56F}"/>
            </c:ext>
          </c:extLst>
        </c:ser>
        <c:ser>
          <c:idx val="48"/>
          <c:order val="48"/>
          <c:tx>
            <c:v>Churn (12 Meses)</c:v>
          </c:tx>
          <c:spPr>
            <a:ln w="28575" cmpd="sng">
              <a:solidFill>
                <a:schemeClr val="accent1"/>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dados'!$B$51:$AW$51</c:f>
              <c:numCache>
                <c:formatCode>0%</c:formatCode>
                <c:ptCount val="48"/>
                <c:pt idx="0">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c:v>0</c:v>
                </c:pt>
                <c:pt idx="20">
                  <c:v>0</c:v>
                </c:pt>
                <c:pt idx="21">
                  <c:v>0</c:v>
                </c:pt>
                <c:pt idx="22">
                  <c:v>0</c:v>
                </c:pt>
                <c:pt idx="23">
                  <c:v>0</c:v>
                </c:pt>
                <c:pt idx="24">
                  <c:v>0</c:v>
                </c:pt>
                <c:pt idx="25">
                  <c:v>0</c:v>
                </c:pt>
                <c:pt idx="26" formatCode="General">
                  <c:v>0</c:v>
                </c:pt>
                <c:pt idx="27" formatCode="General">
                  <c:v>0</c:v>
                </c:pt>
                <c:pt idx="28" formatCode="General">
                  <c:v>0</c:v>
                </c:pt>
                <c:pt idx="29" formatCode="General">
                  <c:v>0</c:v>
                </c:pt>
                <c:pt idx="30" formatCode="General">
                  <c:v>0</c:v>
                </c:pt>
                <c:pt idx="31" formatCode="General">
                  <c:v>0</c:v>
                </c:pt>
                <c:pt idx="32" formatCode="General">
                  <c:v>0</c:v>
                </c:pt>
                <c:pt idx="33" formatCode="General">
                  <c:v>0</c:v>
                </c:pt>
                <c:pt idx="34" formatCode="General">
                  <c:v>0</c:v>
                </c:pt>
                <c:pt idx="35" formatCode="General">
                  <c:v>0</c:v>
                </c:pt>
                <c:pt idx="36" formatCode="General">
                  <c:v>0</c:v>
                </c:pt>
                <c:pt idx="37" formatCode="General">
                  <c:v>0</c:v>
                </c:pt>
                <c:pt idx="38" formatCode="General">
                  <c:v>0</c:v>
                </c:pt>
                <c:pt idx="39" formatCode="General">
                  <c:v>0</c:v>
                </c:pt>
                <c:pt idx="40" formatCode="General">
                  <c:v>0</c:v>
                </c:pt>
                <c:pt idx="41" formatCode="General">
                  <c:v>0</c:v>
                </c:pt>
                <c:pt idx="42" formatCode="General">
                  <c:v>0</c:v>
                </c:pt>
                <c:pt idx="43" formatCode="General">
                  <c:v>0</c:v>
                </c:pt>
                <c:pt idx="44" formatCode="General">
                  <c:v>0</c:v>
                </c:pt>
                <c:pt idx="45" formatCode="General">
                  <c:v>0</c:v>
                </c:pt>
                <c:pt idx="46" formatCode="General">
                  <c:v>0</c:v>
                </c:pt>
                <c:pt idx="47" formatCode="General">
                  <c:v>0</c:v>
                </c:pt>
              </c:numCache>
            </c:numRef>
          </c:val>
          <c:smooth val="0"/>
          <c:extLst>
            <c:ext xmlns:c16="http://schemas.microsoft.com/office/drawing/2014/chart" uri="{C3380CC4-5D6E-409C-BE32-E72D297353CC}">
              <c16:uniqueId val="{00000030-9E9F-AE4E-B9CD-87DD3079E56F}"/>
            </c:ext>
          </c:extLst>
        </c:ser>
        <c:ser>
          <c:idx val="49"/>
          <c:order val="49"/>
          <c:tx>
            <c:v>Ticket Médio (3 Meses)</c:v>
          </c:tx>
          <c:spPr>
            <a:ln w="28575" cmpd="sng">
              <a:solidFill>
                <a:schemeClr val="accent2"/>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dados'!$B$52:$AW$52</c:f>
              <c:numCache>
                <c:formatCode>"R$"\ #,##0.00</c:formatCode>
                <c:ptCount val="48"/>
                <c:pt idx="0">
                  <c:v>0</c:v>
                </c:pt>
                <c:pt idx="1">
                  <c:v>0</c:v>
                </c:pt>
                <c:pt idx="2" formatCode="General">
                  <c:v>0</c:v>
                </c:pt>
                <c:pt idx="3" formatCode="General">
                  <c:v>0</c:v>
                </c:pt>
                <c:pt idx="4" formatCode="General">
                  <c:v>0</c:v>
                </c:pt>
                <c:pt idx="5" formatCode="General">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formatCode="General">
                  <c:v>0</c:v>
                </c:pt>
                <c:pt idx="28" formatCode="General">
                  <c:v>0</c:v>
                </c:pt>
                <c:pt idx="29" formatCode="General">
                  <c:v>0</c:v>
                </c:pt>
                <c:pt idx="30" formatCode="General">
                  <c:v>0</c:v>
                </c:pt>
                <c:pt idx="31" formatCode="General">
                  <c:v>0</c:v>
                </c:pt>
                <c:pt idx="32" formatCode="General">
                  <c:v>0</c:v>
                </c:pt>
                <c:pt idx="33" formatCode="General">
                  <c:v>0</c:v>
                </c:pt>
                <c:pt idx="34" formatCode="General">
                  <c:v>0</c:v>
                </c:pt>
                <c:pt idx="35" formatCode="General">
                  <c:v>0</c:v>
                </c:pt>
                <c:pt idx="36" formatCode="General">
                  <c:v>0</c:v>
                </c:pt>
                <c:pt idx="37" formatCode="General">
                  <c:v>0</c:v>
                </c:pt>
                <c:pt idx="38" formatCode="General">
                  <c:v>0</c:v>
                </c:pt>
                <c:pt idx="39" formatCode="General">
                  <c:v>0</c:v>
                </c:pt>
                <c:pt idx="40" formatCode="General">
                  <c:v>0</c:v>
                </c:pt>
                <c:pt idx="41" formatCode="General">
                  <c:v>0</c:v>
                </c:pt>
                <c:pt idx="42" formatCode="General">
                  <c:v>0</c:v>
                </c:pt>
                <c:pt idx="43" formatCode="General">
                  <c:v>0</c:v>
                </c:pt>
                <c:pt idx="44" formatCode="General">
                  <c:v>0</c:v>
                </c:pt>
                <c:pt idx="45" formatCode="General">
                  <c:v>0</c:v>
                </c:pt>
                <c:pt idx="46" formatCode="General">
                  <c:v>0</c:v>
                </c:pt>
                <c:pt idx="47" formatCode="General">
                  <c:v>0</c:v>
                </c:pt>
              </c:numCache>
            </c:numRef>
          </c:val>
          <c:smooth val="0"/>
          <c:extLst>
            <c:ext xmlns:c16="http://schemas.microsoft.com/office/drawing/2014/chart" uri="{C3380CC4-5D6E-409C-BE32-E72D297353CC}">
              <c16:uniqueId val="{00000031-9E9F-AE4E-B9CD-87DD3079E56F}"/>
            </c:ext>
          </c:extLst>
        </c:ser>
        <c:ser>
          <c:idx val="50"/>
          <c:order val="50"/>
          <c:tx>
            <c:v>Ticket Médio (6 Meses)</c:v>
          </c:tx>
          <c:spPr>
            <a:ln w="28575" cmpd="sng">
              <a:solidFill>
                <a:schemeClr val="accent3"/>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dados'!$B$53:$AW$53</c:f>
              <c:numCache>
                <c:formatCode>"R$"\ #,##0.00</c:formatCode>
                <c:ptCount val="48"/>
                <c:pt idx="0">
                  <c:v>0</c:v>
                </c:pt>
                <c:pt idx="1">
                  <c:v>0</c:v>
                </c:pt>
                <c:pt idx="2" formatCode="General">
                  <c:v>0</c:v>
                </c:pt>
                <c:pt idx="3" formatCode="General">
                  <c:v>0</c:v>
                </c:pt>
                <c:pt idx="4" formatCode="General">
                  <c:v>0</c:v>
                </c:pt>
                <c:pt idx="5" formatCode="General">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formatCode="General">
                  <c:v>0</c:v>
                </c:pt>
                <c:pt idx="28" formatCode="General">
                  <c:v>0</c:v>
                </c:pt>
                <c:pt idx="29" formatCode="General">
                  <c:v>0</c:v>
                </c:pt>
                <c:pt idx="30" formatCode="General">
                  <c:v>0</c:v>
                </c:pt>
                <c:pt idx="31" formatCode="General">
                  <c:v>0</c:v>
                </c:pt>
                <c:pt idx="32" formatCode="General">
                  <c:v>0</c:v>
                </c:pt>
                <c:pt idx="33" formatCode="General">
                  <c:v>0</c:v>
                </c:pt>
                <c:pt idx="34" formatCode="General">
                  <c:v>0</c:v>
                </c:pt>
                <c:pt idx="35" formatCode="General">
                  <c:v>0</c:v>
                </c:pt>
                <c:pt idx="36" formatCode="General">
                  <c:v>0</c:v>
                </c:pt>
                <c:pt idx="37" formatCode="General">
                  <c:v>0</c:v>
                </c:pt>
                <c:pt idx="38" formatCode="General">
                  <c:v>0</c:v>
                </c:pt>
                <c:pt idx="39" formatCode="General">
                  <c:v>0</c:v>
                </c:pt>
                <c:pt idx="40" formatCode="General">
                  <c:v>0</c:v>
                </c:pt>
                <c:pt idx="41" formatCode="General">
                  <c:v>0</c:v>
                </c:pt>
                <c:pt idx="42" formatCode="General">
                  <c:v>0</c:v>
                </c:pt>
                <c:pt idx="43" formatCode="General">
                  <c:v>0</c:v>
                </c:pt>
                <c:pt idx="44" formatCode="General">
                  <c:v>0</c:v>
                </c:pt>
                <c:pt idx="45" formatCode="General">
                  <c:v>0</c:v>
                </c:pt>
                <c:pt idx="46" formatCode="General">
                  <c:v>0</c:v>
                </c:pt>
                <c:pt idx="47" formatCode="General">
                  <c:v>0</c:v>
                </c:pt>
              </c:numCache>
            </c:numRef>
          </c:val>
          <c:smooth val="0"/>
          <c:extLst>
            <c:ext xmlns:c16="http://schemas.microsoft.com/office/drawing/2014/chart" uri="{C3380CC4-5D6E-409C-BE32-E72D297353CC}">
              <c16:uniqueId val="{00000032-9E9F-AE4E-B9CD-87DD3079E56F}"/>
            </c:ext>
          </c:extLst>
        </c:ser>
        <c:ser>
          <c:idx val="51"/>
          <c:order val="51"/>
          <c:tx>
            <c:v>Ticket Médio (12 Meses)</c:v>
          </c:tx>
          <c:spPr>
            <a:ln w="28575" cmpd="sng">
              <a:solidFill>
                <a:schemeClr val="accent4"/>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dados'!$B$54:$AW$54</c:f>
              <c:numCache>
                <c:formatCode>"R$"\ #,##0.00</c:formatCode>
                <c:ptCount val="48"/>
                <c:pt idx="0">
                  <c:v>0</c:v>
                </c:pt>
                <c:pt idx="1">
                  <c:v>0</c:v>
                </c:pt>
                <c:pt idx="2" formatCode="General">
                  <c:v>0</c:v>
                </c:pt>
                <c:pt idx="3" formatCode="General">
                  <c:v>0</c:v>
                </c:pt>
                <c:pt idx="4" formatCode="General">
                  <c:v>0</c:v>
                </c:pt>
                <c:pt idx="5" formatCode="General">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formatCode="General">
                  <c:v>0</c:v>
                </c:pt>
                <c:pt idx="28" formatCode="General">
                  <c:v>0</c:v>
                </c:pt>
                <c:pt idx="29" formatCode="General">
                  <c:v>0</c:v>
                </c:pt>
                <c:pt idx="30" formatCode="General">
                  <c:v>0</c:v>
                </c:pt>
                <c:pt idx="31" formatCode="General">
                  <c:v>0</c:v>
                </c:pt>
                <c:pt idx="32" formatCode="General">
                  <c:v>0</c:v>
                </c:pt>
                <c:pt idx="33" formatCode="General">
                  <c:v>0</c:v>
                </c:pt>
                <c:pt idx="34" formatCode="General">
                  <c:v>0</c:v>
                </c:pt>
                <c:pt idx="35" formatCode="General">
                  <c:v>0</c:v>
                </c:pt>
                <c:pt idx="36" formatCode="General">
                  <c:v>0</c:v>
                </c:pt>
                <c:pt idx="37" formatCode="General">
                  <c:v>0</c:v>
                </c:pt>
                <c:pt idx="38" formatCode="General">
                  <c:v>0</c:v>
                </c:pt>
                <c:pt idx="39" formatCode="General">
                  <c:v>0</c:v>
                </c:pt>
                <c:pt idx="40" formatCode="General">
                  <c:v>0</c:v>
                </c:pt>
                <c:pt idx="41" formatCode="General">
                  <c:v>0</c:v>
                </c:pt>
                <c:pt idx="42" formatCode="General">
                  <c:v>0</c:v>
                </c:pt>
                <c:pt idx="43" formatCode="General">
                  <c:v>0</c:v>
                </c:pt>
                <c:pt idx="44" formatCode="General">
                  <c:v>0</c:v>
                </c:pt>
                <c:pt idx="45" formatCode="General">
                  <c:v>0</c:v>
                </c:pt>
                <c:pt idx="46" formatCode="General">
                  <c:v>0</c:v>
                </c:pt>
                <c:pt idx="47" formatCode="General">
                  <c:v>0</c:v>
                </c:pt>
              </c:numCache>
            </c:numRef>
          </c:val>
          <c:smooth val="0"/>
          <c:extLst>
            <c:ext xmlns:c16="http://schemas.microsoft.com/office/drawing/2014/chart" uri="{C3380CC4-5D6E-409C-BE32-E72D297353CC}">
              <c16:uniqueId val="{00000033-9E9F-AE4E-B9CD-87DD3079E56F}"/>
            </c:ext>
          </c:extLst>
        </c:ser>
        <c:ser>
          <c:idx val="52"/>
          <c:order val="52"/>
          <c:tx>
            <c:v>Recorrente Por Cliente Último Mês</c:v>
          </c:tx>
          <c:spPr>
            <a:ln w="28575" cmpd="sng">
              <a:solidFill>
                <a:schemeClr val="accent5"/>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dados'!$B$55:$AW$55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34-9E9F-AE4E-B9CD-87DD3079E56F}"/>
            </c:ext>
          </c:extLst>
        </c:ser>
        <c:ser>
          <c:idx val="53"/>
          <c:order val="53"/>
          <c:tx>
            <c:v>Recorrente Por Cliente (3 Meses)</c:v>
          </c:tx>
          <c:spPr>
            <a:ln w="28575" cmpd="sng">
              <a:solidFill>
                <a:schemeClr val="accent6"/>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dados'!$B$56:$AW$56</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35-9E9F-AE4E-B9CD-87DD3079E56F}"/>
            </c:ext>
          </c:extLst>
        </c:ser>
        <c:ser>
          <c:idx val="54"/>
          <c:order val="54"/>
          <c:tx>
            <c:v>Recorrente Por Cliente (6 Meses)</c:v>
          </c:tx>
          <c:spPr>
            <a:ln w="28575" cmpd="sng">
              <a:solidFill>
                <a:schemeClr val="accent1"/>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dados'!$B$57:$AW$57</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36-9E9F-AE4E-B9CD-87DD3079E56F}"/>
            </c:ext>
          </c:extLst>
        </c:ser>
        <c:ser>
          <c:idx val="55"/>
          <c:order val="55"/>
          <c:tx>
            <c:v>Recorrente Por Cliente (12 Meses)</c:v>
          </c:tx>
          <c:spPr>
            <a:ln w="28575" cmpd="sng">
              <a:solidFill>
                <a:schemeClr val="accent2"/>
              </a:solidFill>
            </a:ln>
          </c:spPr>
          <c:marker>
            <c:symbol val="none"/>
          </c:marker>
          <c:cat>
            <c:strRef>
              <c:f>'Base de dados'!$B$2:$AW$2</c:f>
              <c:strCache>
                <c:ptCount val="48"/>
                <c:pt idx="0">
                  <c:v>jan-19</c:v>
                </c:pt>
                <c:pt idx="1">
                  <c:v>fev-19</c:v>
                </c:pt>
                <c:pt idx="2">
                  <c:v>mar-19</c:v>
                </c:pt>
                <c:pt idx="3">
                  <c:v>abr-19</c:v>
                </c:pt>
                <c:pt idx="4">
                  <c:v>mai-19</c:v>
                </c:pt>
                <c:pt idx="5">
                  <c:v>jun-19</c:v>
                </c:pt>
                <c:pt idx="6">
                  <c:v>jul-19</c:v>
                </c:pt>
                <c:pt idx="7">
                  <c:v>ago-19</c:v>
                </c:pt>
                <c:pt idx="8">
                  <c:v>set-19</c:v>
                </c:pt>
                <c:pt idx="9">
                  <c:v>out-19</c:v>
                </c:pt>
                <c:pt idx="10">
                  <c:v>nov-19</c:v>
                </c:pt>
                <c:pt idx="11">
                  <c:v>dez-19</c:v>
                </c:pt>
                <c:pt idx="12">
                  <c:v>jan-20</c:v>
                </c:pt>
                <c:pt idx="13">
                  <c:v>fev-20</c:v>
                </c:pt>
                <c:pt idx="14">
                  <c:v>mar-20</c:v>
                </c:pt>
                <c:pt idx="15">
                  <c:v>abr-20</c:v>
                </c:pt>
                <c:pt idx="16">
                  <c:v>mai-20</c:v>
                </c:pt>
                <c:pt idx="17">
                  <c:v>jun-20</c:v>
                </c:pt>
                <c:pt idx="18">
                  <c:v>jul-20</c:v>
                </c:pt>
                <c:pt idx="19">
                  <c:v>ago-20</c:v>
                </c:pt>
                <c:pt idx="20">
                  <c:v>set-20</c:v>
                </c:pt>
                <c:pt idx="21">
                  <c:v>out-20</c:v>
                </c:pt>
                <c:pt idx="22">
                  <c:v>nov-20</c:v>
                </c:pt>
                <c:pt idx="23">
                  <c:v>dez-20</c:v>
                </c:pt>
                <c:pt idx="24">
                  <c:v>jan-21</c:v>
                </c:pt>
                <c:pt idx="25">
                  <c:v>fev-21</c:v>
                </c:pt>
                <c:pt idx="26">
                  <c:v>mar-21</c:v>
                </c:pt>
                <c:pt idx="27">
                  <c:v>abr-21</c:v>
                </c:pt>
                <c:pt idx="28">
                  <c:v>mai-21</c:v>
                </c:pt>
                <c:pt idx="29">
                  <c:v>jun-21</c:v>
                </c:pt>
                <c:pt idx="30">
                  <c:v>jul-21</c:v>
                </c:pt>
                <c:pt idx="31">
                  <c:v>ago-21</c:v>
                </c:pt>
                <c:pt idx="32">
                  <c:v>set-21</c:v>
                </c:pt>
                <c:pt idx="33">
                  <c:v>out-21</c:v>
                </c:pt>
                <c:pt idx="34">
                  <c:v>nov-21</c:v>
                </c:pt>
                <c:pt idx="35">
                  <c:v>dez-21</c:v>
                </c:pt>
                <c:pt idx="36">
                  <c:v>jan-22</c:v>
                </c:pt>
                <c:pt idx="37">
                  <c:v>fev-22</c:v>
                </c:pt>
                <c:pt idx="38">
                  <c:v>mar-22</c:v>
                </c:pt>
                <c:pt idx="39">
                  <c:v>abr-22</c:v>
                </c:pt>
                <c:pt idx="40">
                  <c:v>mai-22</c:v>
                </c:pt>
                <c:pt idx="41">
                  <c:v>jun-22</c:v>
                </c:pt>
                <c:pt idx="42">
                  <c:v>jul-22</c:v>
                </c:pt>
                <c:pt idx="43">
                  <c:v>ago-22</c:v>
                </c:pt>
                <c:pt idx="44">
                  <c:v>set-22</c:v>
                </c:pt>
                <c:pt idx="45">
                  <c:v>out-22</c:v>
                </c:pt>
                <c:pt idx="46">
                  <c:v>nov-22</c:v>
                </c:pt>
                <c:pt idx="47">
                  <c:v>dez-22</c:v>
                </c:pt>
              </c:strCache>
            </c:strRef>
          </c:cat>
          <c:val>
            <c:numRef>
              <c:f>'Base de dados'!$B$58:$AW$58</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37-9E9F-AE4E-B9CD-87DD3079E56F}"/>
            </c:ext>
          </c:extLst>
        </c:ser>
        <c:dLbls>
          <c:showLegendKey val="0"/>
          <c:showVal val="0"/>
          <c:showCatName val="0"/>
          <c:showSerName val="0"/>
          <c:showPercent val="0"/>
          <c:showBubbleSize val="0"/>
        </c:dLbls>
        <c:smooth val="0"/>
        <c:axId val="1975193469"/>
        <c:axId val="1996542817"/>
      </c:lineChart>
      <c:catAx>
        <c:axId val="197519346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pt-BR"/>
          </a:p>
        </c:txPr>
        <c:crossAx val="1996542817"/>
        <c:crosses val="autoZero"/>
        <c:auto val="1"/>
        <c:lblAlgn val="ctr"/>
        <c:lblOffset val="100"/>
        <c:noMultiLvlLbl val="1"/>
      </c:catAx>
      <c:valAx>
        <c:axId val="199654281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pt-BR"/>
          </a:p>
        </c:txPr>
        <c:crossAx val="1975193469"/>
        <c:crosses val="autoZero"/>
        <c:crossBetween val="between"/>
      </c:valAx>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219075</xdr:colOff>
      <xdr:row>0</xdr:row>
      <xdr:rowOff>180975</xdr:rowOff>
    </xdr:from>
    <xdr:ext cx="1905000" cy="2762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19050</xdr:colOff>
      <xdr:row>0</xdr:row>
      <xdr:rowOff>9525</xdr:rowOff>
    </xdr:from>
    <xdr:ext cx="11182350" cy="5172075"/>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638175</xdr:colOff>
      <xdr:row>25</xdr:row>
      <xdr:rowOff>19050</xdr:rowOff>
    </xdr:from>
    <xdr:ext cx="1762125" cy="2857500"/>
    <mc:AlternateContent xmlns:mc="http://schemas.openxmlformats.org/markup-compatibility/2006" xmlns:sle15="http://schemas.microsoft.com/office/drawing/2012/slicer">
      <mc:Choice Requires="sle15">
        <xdr:graphicFrame macro="">
          <xdr:nvGraphicFramePr>
            <xdr:cNvPr id="2" name="Fatores_2">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Fatores_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Fatore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tores_2" xr10:uid="{00000000-0014-0000-FFFF-FFFF02000000}" cache="SlicerCache_Table_1_Col_1" caption="Fatore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AW58">
  <autoFilter ref="A2:AW58" xr:uid="{00000000-0009-0000-0100-000001000000}"/>
  <tableColumns count="49">
    <tableColumn id="1" xr3:uid="{00000000-0010-0000-0000-000001000000}" name="Fatores"/>
    <tableColumn id="2" xr3:uid="{00000000-0010-0000-0000-000002000000}" name="jan-19"/>
    <tableColumn id="3" xr3:uid="{00000000-0010-0000-0000-000003000000}" name="fev-19"/>
    <tableColumn id="4" xr3:uid="{00000000-0010-0000-0000-000004000000}" name="mar-19"/>
    <tableColumn id="5" xr3:uid="{00000000-0010-0000-0000-000005000000}" name="abr-19"/>
    <tableColumn id="6" xr3:uid="{00000000-0010-0000-0000-000006000000}" name="mai-19"/>
    <tableColumn id="7" xr3:uid="{00000000-0010-0000-0000-000007000000}" name="jun-19"/>
    <tableColumn id="8" xr3:uid="{00000000-0010-0000-0000-000008000000}" name="jul-19"/>
    <tableColumn id="9" xr3:uid="{00000000-0010-0000-0000-000009000000}" name="ago-19"/>
    <tableColumn id="10" xr3:uid="{00000000-0010-0000-0000-00000A000000}" name="set-19"/>
    <tableColumn id="11" xr3:uid="{00000000-0010-0000-0000-00000B000000}" name="out-19"/>
    <tableColumn id="12" xr3:uid="{00000000-0010-0000-0000-00000C000000}" name="nov-19"/>
    <tableColumn id="13" xr3:uid="{00000000-0010-0000-0000-00000D000000}" name="dez-19"/>
    <tableColumn id="14" xr3:uid="{00000000-0010-0000-0000-00000E000000}" name="jan-20"/>
    <tableColumn id="15" xr3:uid="{00000000-0010-0000-0000-00000F000000}" name="fev-20"/>
    <tableColumn id="16" xr3:uid="{00000000-0010-0000-0000-000010000000}" name="mar-20"/>
    <tableColumn id="17" xr3:uid="{00000000-0010-0000-0000-000011000000}" name="abr-20"/>
    <tableColumn id="18" xr3:uid="{00000000-0010-0000-0000-000012000000}" name="mai-20"/>
    <tableColumn id="19" xr3:uid="{00000000-0010-0000-0000-000013000000}" name="jun-20"/>
    <tableColumn id="20" xr3:uid="{00000000-0010-0000-0000-000014000000}" name="jul-20"/>
    <tableColumn id="21" xr3:uid="{00000000-0010-0000-0000-000015000000}" name="ago-20"/>
    <tableColumn id="22" xr3:uid="{00000000-0010-0000-0000-000016000000}" name="set-20"/>
    <tableColumn id="23" xr3:uid="{00000000-0010-0000-0000-000017000000}" name="out-20"/>
    <tableColumn id="24" xr3:uid="{00000000-0010-0000-0000-000018000000}" name="nov-20"/>
    <tableColumn id="25" xr3:uid="{00000000-0010-0000-0000-000019000000}" name="dez-20"/>
    <tableColumn id="26" xr3:uid="{00000000-0010-0000-0000-00001A000000}" name="jan-21"/>
    <tableColumn id="27" xr3:uid="{00000000-0010-0000-0000-00001B000000}" name="fev-21"/>
    <tableColumn id="28" xr3:uid="{00000000-0010-0000-0000-00001C000000}" name="mar-21"/>
    <tableColumn id="29" xr3:uid="{00000000-0010-0000-0000-00001D000000}" name="abr-21"/>
    <tableColumn id="30" xr3:uid="{00000000-0010-0000-0000-00001E000000}" name="mai-21"/>
    <tableColumn id="31" xr3:uid="{00000000-0010-0000-0000-00001F000000}" name="jun-21"/>
    <tableColumn id="32" xr3:uid="{00000000-0010-0000-0000-000020000000}" name="jul-21"/>
    <tableColumn id="33" xr3:uid="{00000000-0010-0000-0000-000021000000}" name="ago-21"/>
    <tableColumn id="34" xr3:uid="{00000000-0010-0000-0000-000022000000}" name="set-21"/>
    <tableColumn id="35" xr3:uid="{00000000-0010-0000-0000-000023000000}" name="out-21"/>
    <tableColumn id="36" xr3:uid="{00000000-0010-0000-0000-000024000000}" name="nov-21"/>
    <tableColumn id="37" xr3:uid="{00000000-0010-0000-0000-000025000000}" name="dez-21"/>
    <tableColumn id="38" xr3:uid="{00000000-0010-0000-0000-000026000000}" name="jan-22"/>
    <tableColumn id="39" xr3:uid="{00000000-0010-0000-0000-000027000000}" name="fev-22"/>
    <tableColumn id="40" xr3:uid="{00000000-0010-0000-0000-000028000000}" name="mar-22"/>
    <tableColumn id="41" xr3:uid="{00000000-0010-0000-0000-000029000000}" name="abr-22"/>
    <tableColumn id="42" xr3:uid="{00000000-0010-0000-0000-00002A000000}" name="mai-22"/>
    <tableColumn id="43" xr3:uid="{00000000-0010-0000-0000-00002B000000}" name="jun-22"/>
    <tableColumn id="44" xr3:uid="{00000000-0010-0000-0000-00002C000000}" name="jul-22"/>
    <tableColumn id="45" xr3:uid="{00000000-0010-0000-0000-00002D000000}" name="ago-22"/>
    <tableColumn id="46" xr3:uid="{00000000-0010-0000-0000-00002E000000}" name="set-22"/>
    <tableColumn id="47" xr3:uid="{00000000-0010-0000-0000-00002F000000}" name="out-22"/>
    <tableColumn id="48" xr3:uid="{00000000-0010-0000-0000-000030000000}" name="nov-22"/>
    <tableColumn id="49" xr3:uid="{00000000-0010-0000-0000-000031000000}" name="dez-22"/>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000"/>
  <sheetViews>
    <sheetView showGridLines="0" tabSelected="1" workbookViewId="0">
      <pane xSplit="1" topLeftCell="B1" activePane="topRight" state="frozen"/>
      <selection pane="topRight" activeCell="K21" sqref="K21"/>
    </sheetView>
  </sheetViews>
  <sheetFormatPr baseColWidth="10" defaultColWidth="11.28515625" defaultRowHeight="15" customHeight="1" outlineLevelRow="2" x14ac:dyDescent="0.2"/>
  <cols>
    <col min="1" max="1" width="35" customWidth="1"/>
    <col min="2" max="49" width="11" customWidth="1"/>
    <col min="50" max="50" width="11.28515625" customWidth="1"/>
  </cols>
  <sheetData>
    <row r="1" spans="1:50" ht="16" x14ac:dyDescent="0.2">
      <c r="A1" s="3"/>
      <c r="B1" s="74" t="s">
        <v>1</v>
      </c>
      <c r="C1" s="75"/>
      <c r="D1" s="75"/>
      <c r="E1" s="75"/>
      <c r="F1" s="75"/>
      <c r="G1" s="75"/>
      <c r="H1" s="76"/>
      <c r="I1" s="80"/>
      <c r="J1" s="81"/>
      <c r="K1" s="84" t="s">
        <v>2</v>
      </c>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85"/>
      <c r="AV1" s="3"/>
      <c r="AW1" s="3"/>
    </row>
    <row r="2" spans="1:50" ht="16" x14ac:dyDescent="0.2">
      <c r="A2" s="1"/>
      <c r="B2" s="77"/>
      <c r="C2" s="78"/>
      <c r="D2" s="78"/>
      <c r="E2" s="78"/>
      <c r="F2" s="78"/>
      <c r="G2" s="78"/>
      <c r="H2" s="79"/>
      <c r="I2" s="82"/>
      <c r="J2" s="83"/>
      <c r="K2" s="86"/>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87"/>
      <c r="AV2" s="88" t="s">
        <v>0</v>
      </c>
      <c r="AW2" s="73"/>
    </row>
    <row r="3" spans="1:50" ht="16" x14ac:dyDescent="0.2">
      <c r="A3" s="2"/>
      <c r="B3" s="91" t="s">
        <v>3</v>
      </c>
      <c r="C3" s="92"/>
      <c r="D3" s="92"/>
      <c r="E3" s="92"/>
      <c r="F3" s="92"/>
      <c r="G3" s="92"/>
      <c r="H3" s="92"/>
      <c r="I3" s="92"/>
      <c r="J3" s="92"/>
      <c r="K3" s="89" t="s">
        <v>4</v>
      </c>
      <c r="L3" s="89"/>
      <c r="M3" s="89"/>
      <c r="N3" s="89"/>
      <c r="O3" s="89"/>
      <c r="P3" s="89"/>
      <c r="Q3" s="89"/>
      <c r="R3" s="89"/>
      <c r="S3" s="89"/>
      <c r="T3" s="89"/>
      <c r="U3" s="89"/>
      <c r="V3" s="89"/>
      <c r="W3" s="89"/>
      <c r="X3" s="89"/>
      <c r="Y3" s="89"/>
      <c r="Z3" s="89"/>
      <c r="AA3" s="89"/>
      <c r="AB3" s="89"/>
      <c r="AC3" s="89"/>
      <c r="AD3" s="89"/>
      <c r="AE3" s="89"/>
      <c r="AF3" s="89"/>
      <c r="AG3" s="89"/>
      <c r="AH3" s="89"/>
      <c r="AI3" s="89"/>
      <c r="AJ3" s="89"/>
      <c r="AK3" s="89"/>
      <c r="AL3" s="89"/>
      <c r="AM3" s="89"/>
      <c r="AN3" s="89"/>
      <c r="AO3" s="89"/>
      <c r="AP3" s="89"/>
      <c r="AQ3" s="89"/>
      <c r="AR3" s="89"/>
      <c r="AS3" s="89"/>
      <c r="AT3" s="89"/>
      <c r="AU3" s="89"/>
      <c r="AV3" s="89"/>
      <c r="AW3" s="90"/>
    </row>
    <row r="4" spans="1:50" ht="16" x14ac:dyDescent="0.2">
      <c r="A4" s="4"/>
      <c r="B4" s="5">
        <v>45292</v>
      </c>
      <c r="C4" s="6">
        <f t="shared" ref="C4:AW4" si="0">DATE(YEAR(B4),MONTH(B4)+1,DAY(B4))</f>
        <v>45323</v>
      </c>
      <c r="D4" s="6">
        <f t="shared" si="0"/>
        <v>45352</v>
      </c>
      <c r="E4" s="6">
        <f t="shared" si="0"/>
        <v>45383</v>
      </c>
      <c r="F4" s="6">
        <f t="shared" si="0"/>
        <v>45413</v>
      </c>
      <c r="G4" s="6">
        <f t="shared" si="0"/>
        <v>45444</v>
      </c>
      <c r="H4" s="6">
        <f t="shared" si="0"/>
        <v>45474</v>
      </c>
      <c r="I4" s="6">
        <f t="shared" si="0"/>
        <v>45505</v>
      </c>
      <c r="J4" s="6">
        <f t="shared" si="0"/>
        <v>45536</v>
      </c>
      <c r="K4" s="6">
        <f t="shared" si="0"/>
        <v>45566</v>
      </c>
      <c r="L4" s="6">
        <f t="shared" si="0"/>
        <v>45597</v>
      </c>
      <c r="M4" s="6">
        <f t="shared" si="0"/>
        <v>45627</v>
      </c>
      <c r="N4" s="6">
        <f t="shared" si="0"/>
        <v>45658</v>
      </c>
      <c r="O4" s="6">
        <f t="shared" si="0"/>
        <v>45689</v>
      </c>
      <c r="P4" s="6">
        <f t="shared" si="0"/>
        <v>45717</v>
      </c>
      <c r="Q4" s="6">
        <f t="shared" si="0"/>
        <v>45748</v>
      </c>
      <c r="R4" s="6">
        <f t="shared" si="0"/>
        <v>45778</v>
      </c>
      <c r="S4" s="6">
        <f t="shared" si="0"/>
        <v>45809</v>
      </c>
      <c r="T4" s="6">
        <f t="shared" si="0"/>
        <v>45839</v>
      </c>
      <c r="U4" s="7">
        <f t="shared" si="0"/>
        <v>45870</v>
      </c>
      <c r="V4" s="6">
        <f t="shared" si="0"/>
        <v>45901</v>
      </c>
      <c r="W4" s="6">
        <f t="shared" si="0"/>
        <v>45931</v>
      </c>
      <c r="X4" s="6">
        <f t="shared" si="0"/>
        <v>45962</v>
      </c>
      <c r="Y4" s="6">
        <f t="shared" si="0"/>
        <v>45992</v>
      </c>
      <c r="Z4" s="6">
        <f t="shared" si="0"/>
        <v>46023</v>
      </c>
      <c r="AA4" s="6">
        <f t="shared" si="0"/>
        <v>46054</v>
      </c>
      <c r="AB4" s="6">
        <f t="shared" si="0"/>
        <v>46082</v>
      </c>
      <c r="AC4" s="6">
        <f t="shared" si="0"/>
        <v>46113</v>
      </c>
      <c r="AD4" s="6">
        <f t="shared" si="0"/>
        <v>46143</v>
      </c>
      <c r="AE4" s="6">
        <f t="shared" si="0"/>
        <v>46174</v>
      </c>
      <c r="AF4" s="6">
        <f t="shared" si="0"/>
        <v>46204</v>
      </c>
      <c r="AG4" s="6">
        <f t="shared" si="0"/>
        <v>46235</v>
      </c>
      <c r="AH4" s="6">
        <f t="shared" si="0"/>
        <v>46266</v>
      </c>
      <c r="AI4" s="6">
        <f t="shared" si="0"/>
        <v>46296</v>
      </c>
      <c r="AJ4" s="6">
        <f t="shared" si="0"/>
        <v>46327</v>
      </c>
      <c r="AK4" s="6">
        <f t="shared" si="0"/>
        <v>46357</v>
      </c>
      <c r="AL4" s="6">
        <f t="shared" si="0"/>
        <v>46388</v>
      </c>
      <c r="AM4" s="6">
        <f t="shared" si="0"/>
        <v>46419</v>
      </c>
      <c r="AN4" s="6">
        <f t="shared" si="0"/>
        <v>46447</v>
      </c>
      <c r="AO4" s="6">
        <f t="shared" si="0"/>
        <v>46478</v>
      </c>
      <c r="AP4" s="6">
        <f t="shared" si="0"/>
        <v>46508</v>
      </c>
      <c r="AQ4" s="6">
        <f t="shared" si="0"/>
        <v>46539</v>
      </c>
      <c r="AR4" s="6">
        <f t="shared" si="0"/>
        <v>46569</v>
      </c>
      <c r="AS4" s="6">
        <f t="shared" si="0"/>
        <v>46600</v>
      </c>
      <c r="AT4" s="6">
        <f t="shared" si="0"/>
        <v>46631</v>
      </c>
      <c r="AU4" s="6">
        <f t="shared" si="0"/>
        <v>46661</v>
      </c>
      <c r="AV4" s="6">
        <f t="shared" si="0"/>
        <v>46692</v>
      </c>
      <c r="AW4" s="6">
        <f t="shared" si="0"/>
        <v>46722</v>
      </c>
    </row>
    <row r="5" spans="1:50" ht="16" x14ac:dyDescent="0.2">
      <c r="A5" s="8" t="s">
        <v>5</v>
      </c>
      <c r="B5" s="9">
        <v>0</v>
      </c>
      <c r="C5" s="9">
        <v>0</v>
      </c>
      <c r="D5" s="9">
        <v>0</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v>0</v>
      </c>
      <c r="Y5" s="9">
        <v>0</v>
      </c>
      <c r="Z5" s="9">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row>
    <row r="6" spans="1:50" ht="16" x14ac:dyDescent="0.2">
      <c r="A6" t="s">
        <v>6</v>
      </c>
      <c r="B6" s="9">
        <v>0</v>
      </c>
      <c r="C6" s="9">
        <v>0</v>
      </c>
      <c r="D6" s="9">
        <v>0</v>
      </c>
      <c r="E6" s="9">
        <v>0</v>
      </c>
      <c r="F6" s="9">
        <v>0</v>
      </c>
      <c r="G6" s="9">
        <v>0</v>
      </c>
      <c r="H6" s="9">
        <v>0</v>
      </c>
      <c r="I6" s="9">
        <v>0</v>
      </c>
      <c r="J6" s="9">
        <v>0</v>
      </c>
      <c r="K6" s="9">
        <v>0</v>
      </c>
      <c r="L6" s="9">
        <v>0</v>
      </c>
      <c r="M6" s="9">
        <v>0</v>
      </c>
      <c r="N6" s="9">
        <v>0</v>
      </c>
      <c r="O6" s="9">
        <v>0</v>
      </c>
      <c r="P6" s="9">
        <v>0</v>
      </c>
      <c r="Q6" s="9">
        <v>0</v>
      </c>
      <c r="R6" s="9">
        <v>0</v>
      </c>
      <c r="S6" s="9">
        <v>0</v>
      </c>
      <c r="T6" s="9">
        <v>0</v>
      </c>
      <c r="U6" s="9">
        <v>0</v>
      </c>
      <c r="V6" s="9">
        <v>0</v>
      </c>
      <c r="W6" s="9">
        <v>0</v>
      </c>
      <c r="X6" s="9">
        <v>0</v>
      </c>
      <c r="Y6" s="9">
        <v>0</v>
      </c>
      <c r="Z6" s="9">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row>
    <row r="7" spans="1:50" ht="16" x14ac:dyDescent="0.2">
      <c r="A7" t="s">
        <v>7</v>
      </c>
      <c r="B7" s="9">
        <v>0</v>
      </c>
      <c r="C7" s="9">
        <v>0</v>
      </c>
      <c r="D7" s="9">
        <v>0</v>
      </c>
      <c r="E7" s="9">
        <v>0</v>
      </c>
      <c r="F7" s="9">
        <v>0</v>
      </c>
      <c r="G7" s="9">
        <v>0</v>
      </c>
      <c r="H7" s="9">
        <v>0</v>
      </c>
      <c r="I7" s="9">
        <v>0</v>
      </c>
      <c r="J7" s="9">
        <v>0</v>
      </c>
      <c r="K7" s="9">
        <v>0</v>
      </c>
      <c r="L7" s="9">
        <v>0</v>
      </c>
      <c r="M7" s="9">
        <v>0</v>
      </c>
      <c r="N7" s="9">
        <v>0</v>
      </c>
      <c r="O7" s="9">
        <v>0</v>
      </c>
      <c r="P7" s="9">
        <v>0</v>
      </c>
      <c r="Q7" s="9">
        <v>0</v>
      </c>
      <c r="R7" s="9">
        <v>0</v>
      </c>
      <c r="S7" s="9">
        <v>0</v>
      </c>
      <c r="T7" s="9">
        <v>0</v>
      </c>
      <c r="U7" s="9">
        <v>0</v>
      </c>
      <c r="V7" s="9">
        <v>0</v>
      </c>
      <c r="W7" s="9">
        <v>0</v>
      </c>
      <c r="X7" s="9">
        <v>0</v>
      </c>
      <c r="Y7" s="9">
        <v>0</v>
      </c>
      <c r="Z7" s="9">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row>
    <row r="8" spans="1:50" ht="16" x14ac:dyDescent="0.2">
      <c r="A8" t="s">
        <v>8</v>
      </c>
      <c r="B8" s="11">
        <f t="shared" ref="B8:AW8" si="1">IF(B5=0,0,B7/B5)</f>
        <v>0</v>
      </c>
      <c r="C8" s="11">
        <f t="shared" si="1"/>
        <v>0</v>
      </c>
      <c r="D8" s="11">
        <f t="shared" si="1"/>
        <v>0</v>
      </c>
      <c r="E8" s="11">
        <f t="shared" si="1"/>
        <v>0</v>
      </c>
      <c r="F8" s="11">
        <f t="shared" si="1"/>
        <v>0</v>
      </c>
      <c r="G8" s="11">
        <f t="shared" si="1"/>
        <v>0</v>
      </c>
      <c r="H8" s="11">
        <f t="shared" si="1"/>
        <v>0</v>
      </c>
      <c r="I8" s="11">
        <f t="shared" si="1"/>
        <v>0</v>
      </c>
      <c r="J8" s="11">
        <f t="shared" si="1"/>
        <v>0</v>
      </c>
      <c r="K8" s="11">
        <f t="shared" si="1"/>
        <v>0</v>
      </c>
      <c r="L8" s="11">
        <f t="shared" si="1"/>
        <v>0</v>
      </c>
      <c r="M8" s="11">
        <f t="shared" si="1"/>
        <v>0</v>
      </c>
      <c r="N8" s="11">
        <f t="shared" si="1"/>
        <v>0</v>
      </c>
      <c r="O8" s="11">
        <f t="shared" si="1"/>
        <v>0</v>
      </c>
      <c r="P8" s="11">
        <f t="shared" si="1"/>
        <v>0</v>
      </c>
      <c r="Q8" s="11">
        <f t="shared" si="1"/>
        <v>0</v>
      </c>
      <c r="R8" s="11">
        <f t="shared" si="1"/>
        <v>0</v>
      </c>
      <c r="S8" s="11">
        <f t="shared" si="1"/>
        <v>0</v>
      </c>
      <c r="T8" s="11">
        <f t="shared" si="1"/>
        <v>0</v>
      </c>
      <c r="U8" s="11">
        <f t="shared" si="1"/>
        <v>0</v>
      </c>
      <c r="V8" s="11">
        <f t="shared" si="1"/>
        <v>0</v>
      </c>
      <c r="W8" s="11">
        <f t="shared" si="1"/>
        <v>0</v>
      </c>
      <c r="X8" s="11">
        <f t="shared" si="1"/>
        <v>0</v>
      </c>
      <c r="Y8" s="11">
        <f t="shared" si="1"/>
        <v>0</v>
      </c>
      <c r="Z8" s="11">
        <f t="shared" si="1"/>
        <v>0</v>
      </c>
      <c r="AA8" s="11">
        <f t="shared" si="1"/>
        <v>0</v>
      </c>
      <c r="AB8" s="11">
        <f t="shared" si="1"/>
        <v>0</v>
      </c>
      <c r="AC8" s="11">
        <f t="shared" si="1"/>
        <v>0</v>
      </c>
      <c r="AD8" s="11">
        <f t="shared" si="1"/>
        <v>0</v>
      </c>
      <c r="AE8" s="11">
        <f t="shared" si="1"/>
        <v>0</v>
      </c>
      <c r="AF8" s="11">
        <f t="shared" si="1"/>
        <v>0</v>
      </c>
      <c r="AG8" s="11">
        <f t="shared" si="1"/>
        <v>0</v>
      </c>
      <c r="AH8" s="11">
        <f t="shared" si="1"/>
        <v>0</v>
      </c>
      <c r="AI8" s="11">
        <f t="shared" si="1"/>
        <v>0</v>
      </c>
      <c r="AJ8" s="11">
        <f t="shared" si="1"/>
        <v>0</v>
      </c>
      <c r="AK8" s="11">
        <f t="shared" si="1"/>
        <v>0</v>
      </c>
      <c r="AL8" s="11">
        <f t="shared" si="1"/>
        <v>0</v>
      </c>
      <c r="AM8" s="11">
        <f t="shared" si="1"/>
        <v>0</v>
      </c>
      <c r="AN8" s="11">
        <f t="shared" si="1"/>
        <v>0</v>
      </c>
      <c r="AO8" s="11">
        <f t="shared" si="1"/>
        <v>0</v>
      </c>
      <c r="AP8" s="11">
        <f t="shared" si="1"/>
        <v>0</v>
      </c>
      <c r="AQ8" s="11">
        <f t="shared" si="1"/>
        <v>0</v>
      </c>
      <c r="AR8" s="11">
        <f t="shared" si="1"/>
        <v>0</v>
      </c>
      <c r="AS8" s="11">
        <f t="shared" si="1"/>
        <v>0</v>
      </c>
      <c r="AT8" s="11">
        <f t="shared" si="1"/>
        <v>0</v>
      </c>
      <c r="AU8" s="11">
        <f t="shared" si="1"/>
        <v>0</v>
      </c>
      <c r="AV8" s="11">
        <f t="shared" si="1"/>
        <v>0</v>
      </c>
      <c r="AW8" s="11">
        <f t="shared" si="1"/>
        <v>0</v>
      </c>
    </row>
    <row r="9" spans="1:50" ht="16" x14ac:dyDescent="0.2">
      <c r="B9" s="12"/>
      <c r="C9" s="12"/>
      <c r="D9" s="12"/>
      <c r="E9" s="12"/>
      <c r="F9" s="12"/>
      <c r="G9" s="12"/>
      <c r="H9" s="12"/>
      <c r="I9" s="12"/>
      <c r="J9" s="12"/>
      <c r="K9" s="12"/>
      <c r="L9" s="12"/>
      <c r="M9" s="12"/>
      <c r="N9" s="12"/>
      <c r="O9" s="12"/>
      <c r="P9" s="12"/>
      <c r="Q9" s="12"/>
      <c r="R9" s="12"/>
      <c r="S9" s="12"/>
      <c r="T9" s="12"/>
      <c r="U9" s="12"/>
      <c r="V9" s="12"/>
      <c r="W9" s="12"/>
      <c r="X9" s="12"/>
      <c r="Y9" s="12"/>
      <c r="Z9" s="12"/>
      <c r="AA9" s="13"/>
      <c r="AB9" s="13"/>
      <c r="AC9" s="13"/>
      <c r="AD9" s="13"/>
      <c r="AE9" s="13"/>
      <c r="AF9" s="13"/>
      <c r="AG9" s="13"/>
      <c r="AH9" s="13"/>
      <c r="AI9" s="13"/>
      <c r="AJ9" s="13"/>
      <c r="AK9" s="13"/>
      <c r="AL9" s="13"/>
      <c r="AM9" s="13"/>
      <c r="AN9" s="13"/>
      <c r="AO9" s="13"/>
      <c r="AP9" s="13"/>
      <c r="AQ9" s="13"/>
      <c r="AR9" s="13"/>
      <c r="AS9" s="13"/>
      <c r="AT9" s="13"/>
      <c r="AU9" s="13"/>
      <c r="AV9" s="13"/>
      <c r="AW9" s="13"/>
    </row>
    <row r="10" spans="1:50" ht="16" x14ac:dyDescent="0.2">
      <c r="A10" s="8" t="s">
        <v>9</v>
      </c>
      <c r="B10" s="12">
        <v>0</v>
      </c>
      <c r="C10" s="12">
        <v>0</v>
      </c>
      <c r="D10" s="12">
        <v>0</v>
      </c>
      <c r="E10" s="12">
        <v>0</v>
      </c>
      <c r="F10" s="12">
        <v>0</v>
      </c>
      <c r="G10" s="12">
        <v>0</v>
      </c>
      <c r="H10" s="12">
        <v>0</v>
      </c>
      <c r="I10" s="12">
        <v>0</v>
      </c>
      <c r="J10" s="12">
        <v>0</v>
      </c>
      <c r="K10" s="12">
        <v>0</v>
      </c>
      <c r="L10" s="12">
        <v>0</v>
      </c>
      <c r="M10" s="12">
        <v>0</v>
      </c>
      <c r="N10" s="12">
        <v>0</v>
      </c>
      <c r="O10" s="12">
        <v>0</v>
      </c>
      <c r="P10" s="12">
        <v>0</v>
      </c>
      <c r="Q10" s="12">
        <v>0</v>
      </c>
      <c r="R10" s="12">
        <v>0</v>
      </c>
      <c r="S10" s="12">
        <v>0</v>
      </c>
      <c r="T10" s="12">
        <v>0</v>
      </c>
      <c r="U10" s="12">
        <v>0</v>
      </c>
      <c r="V10" s="12">
        <v>0</v>
      </c>
      <c r="W10" s="12">
        <v>0</v>
      </c>
      <c r="X10" s="12">
        <v>0</v>
      </c>
      <c r="Y10" s="12">
        <v>0</v>
      </c>
      <c r="Z10" s="12">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row>
    <row r="11" spans="1:50" ht="16" x14ac:dyDescent="0.2">
      <c r="A11" s="8" t="s">
        <v>10</v>
      </c>
      <c r="B11" s="12">
        <v>0</v>
      </c>
      <c r="C11" s="12">
        <v>0</v>
      </c>
      <c r="D11" s="12">
        <v>0</v>
      </c>
      <c r="E11" s="12">
        <v>0</v>
      </c>
      <c r="F11" s="12">
        <v>0</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c r="AA11" s="13">
        <v>0</v>
      </c>
      <c r="AB11" s="13">
        <v>0</v>
      </c>
      <c r="AC11" s="13">
        <v>0</v>
      </c>
      <c r="AD11" s="13">
        <v>0</v>
      </c>
      <c r="AE11" s="13">
        <v>0</v>
      </c>
      <c r="AF11" s="13">
        <v>0</v>
      </c>
      <c r="AG11" s="13">
        <v>0</v>
      </c>
      <c r="AH11" s="13">
        <v>0</v>
      </c>
      <c r="AI11" s="13">
        <v>0</v>
      </c>
      <c r="AJ11" s="13">
        <v>0</v>
      </c>
      <c r="AK11" s="13">
        <v>0</v>
      </c>
      <c r="AL11" s="13">
        <v>0</v>
      </c>
      <c r="AM11" s="13">
        <v>0</v>
      </c>
      <c r="AN11" s="13">
        <v>0</v>
      </c>
      <c r="AO11" s="13">
        <v>0</v>
      </c>
      <c r="AP11" s="13">
        <v>0</v>
      </c>
      <c r="AQ11" s="13">
        <v>0</v>
      </c>
      <c r="AR11" s="13">
        <v>0</v>
      </c>
      <c r="AS11" s="13">
        <v>0</v>
      </c>
      <c r="AT11" s="13">
        <v>0</v>
      </c>
      <c r="AU11" s="13">
        <v>0</v>
      </c>
      <c r="AV11" s="13">
        <v>0</v>
      </c>
      <c r="AW11" s="13">
        <v>0</v>
      </c>
    </row>
    <row r="12" spans="1:50" ht="16" x14ac:dyDescent="0.2">
      <c r="A12" s="14" t="s">
        <v>11</v>
      </c>
      <c r="B12" s="15">
        <f t="shared" ref="B12:AW12" si="2">SUM(B9:B11)</f>
        <v>0</v>
      </c>
      <c r="C12" s="15">
        <f t="shared" si="2"/>
        <v>0</v>
      </c>
      <c r="D12" s="15">
        <f t="shared" si="2"/>
        <v>0</v>
      </c>
      <c r="E12" s="15">
        <f t="shared" si="2"/>
        <v>0</v>
      </c>
      <c r="F12" s="15">
        <f t="shared" si="2"/>
        <v>0</v>
      </c>
      <c r="G12" s="15">
        <f t="shared" si="2"/>
        <v>0</v>
      </c>
      <c r="H12" s="15">
        <f t="shared" si="2"/>
        <v>0</v>
      </c>
      <c r="I12" s="15">
        <f t="shared" si="2"/>
        <v>0</v>
      </c>
      <c r="J12" s="15">
        <f t="shared" si="2"/>
        <v>0</v>
      </c>
      <c r="K12" s="15">
        <f t="shared" si="2"/>
        <v>0</v>
      </c>
      <c r="L12" s="15">
        <f t="shared" si="2"/>
        <v>0</v>
      </c>
      <c r="M12" s="15">
        <f t="shared" si="2"/>
        <v>0</v>
      </c>
      <c r="N12" s="15">
        <f t="shared" si="2"/>
        <v>0</v>
      </c>
      <c r="O12" s="15">
        <f t="shared" si="2"/>
        <v>0</v>
      </c>
      <c r="P12" s="15">
        <f t="shared" si="2"/>
        <v>0</v>
      </c>
      <c r="Q12" s="15">
        <f t="shared" si="2"/>
        <v>0</v>
      </c>
      <c r="R12" s="15">
        <f t="shared" si="2"/>
        <v>0</v>
      </c>
      <c r="S12" s="15">
        <f t="shared" si="2"/>
        <v>0</v>
      </c>
      <c r="T12" s="15">
        <f t="shared" si="2"/>
        <v>0</v>
      </c>
      <c r="U12" s="15">
        <f t="shared" si="2"/>
        <v>0</v>
      </c>
      <c r="V12" s="15">
        <f t="shared" si="2"/>
        <v>0</v>
      </c>
      <c r="W12" s="15">
        <f t="shared" si="2"/>
        <v>0</v>
      </c>
      <c r="X12" s="15">
        <f t="shared" si="2"/>
        <v>0</v>
      </c>
      <c r="Y12" s="15">
        <f t="shared" si="2"/>
        <v>0</v>
      </c>
      <c r="Z12" s="15">
        <f t="shared" si="2"/>
        <v>0</v>
      </c>
      <c r="AA12" s="16">
        <f t="shared" si="2"/>
        <v>0</v>
      </c>
      <c r="AB12" s="16">
        <f t="shared" si="2"/>
        <v>0</v>
      </c>
      <c r="AC12" s="16">
        <f t="shared" si="2"/>
        <v>0</v>
      </c>
      <c r="AD12" s="16">
        <f t="shared" si="2"/>
        <v>0</v>
      </c>
      <c r="AE12" s="16">
        <f t="shared" si="2"/>
        <v>0</v>
      </c>
      <c r="AF12" s="16">
        <f t="shared" si="2"/>
        <v>0</v>
      </c>
      <c r="AG12" s="16">
        <f t="shared" si="2"/>
        <v>0</v>
      </c>
      <c r="AH12" s="16">
        <f t="shared" si="2"/>
        <v>0</v>
      </c>
      <c r="AI12" s="16">
        <f t="shared" si="2"/>
        <v>0</v>
      </c>
      <c r="AJ12" s="16">
        <f t="shared" si="2"/>
        <v>0</v>
      </c>
      <c r="AK12" s="16">
        <f t="shared" si="2"/>
        <v>0</v>
      </c>
      <c r="AL12" s="16">
        <f t="shared" si="2"/>
        <v>0</v>
      </c>
      <c r="AM12" s="16">
        <f t="shared" si="2"/>
        <v>0</v>
      </c>
      <c r="AN12" s="16">
        <f t="shared" si="2"/>
        <v>0</v>
      </c>
      <c r="AO12" s="16">
        <f t="shared" si="2"/>
        <v>0</v>
      </c>
      <c r="AP12" s="16">
        <f t="shared" si="2"/>
        <v>0</v>
      </c>
      <c r="AQ12" s="16">
        <f t="shared" si="2"/>
        <v>0</v>
      </c>
      <c r="AR12" s="16">
        <f t="shared" si="2"/>
        <v>0</v>
      </c>
      <c r="AS12" s="16">
        <f t="shared" si="2"/>
        <v>0</v>
      </c>
      <c r="AT12" s="16">
        <f t="shared" si="2"/>
        <v>0</v>
      </c>
      <c r="AU12" s="16">
        <f t="shared" si="2"/>
        <v>0</v>
      </c>
      <c r="AV12" s="16">
        <f t="shared" si="2"/>
        <v>0</v>
      </c>
      <c r="AW12" s="16">
        <f t="shared" si="2"/>
        <v>0</v>
      </c>
    </row>
    <row r="13" spans="1:50" ht="16" x14ac:dyDescent="0.2">
      <c r="A13" s="17" t="s">
        <v>12</v>
      </c>
      <c r="B13" s="18"/>
      <c r="C13" s="11">
        <f t="shared" ref="C13:AW13" si="3">IFERROR(C12/B12-1,0)</f>
        <v>0</v>
      </c>
      <c r="D13" s="11">
        <f t="shared" si="3"/>
        <v>0</v>
      </c>
      <c r="E13" s="11">
        <f t="shared" si="3"/>
        <v>0</v>
      </c>
      <c r="F13" s="11">
        <f t="shared" si="3"/>
        <v>0</v>
      </c>
      <c r="G13" s="11">
        <f t="shared" si="3"/>
        <v>0</v>
      </c>
      <c r="H13" s="11">
        <f t="shared" si="3"/>
        <v>0</v>
      </c>
      <c r="I13" s="11">
        <f t="shared" si="3"/>
        <v>0</v>
      </c>
      <c r="J13" s="11">
        <f t="shared" si="3"/>
        <v>0</v>
      </c>
      <c r="K13" s="11">
        <f t="shared" si="3"/>
        <v>0</v>
      </c>
      <c r="L13" s="11">
        <f t="shared" si="3"/>
        <v>0</v>
      </c>
      <c r="M13" s="11">
        <f t="shared" si="3"/>
        <v>0</v>
      </c>
      <c r="N13" s="11">
        <f t="shared" si="3"/>
        <v>0</v>
      </c>
      <c r="O13" s="11">
        <f t="shared" si="3"/>
        <v>0</v>
      </c>
      <c r="P13" s="11">
        <f t="shared" si="3"/>
        <v>0</v>
      </c>
      <c r="Q13" s="11">
        <f t="shared" si="3"/>
        <v>0</v>
      </c>
      <c r="R13" s="11">
        <f t="shared" si="3"/>
        <v>0</v>
      </c>
      <c r="S13" s="11">
        <f t="shared" si="3"/>
        <v>0</v>
      </c>
      <c r="T13" s="11">
        <f t="shared" si="3"/>
        <v>0</v>
      </c>
      <c r="U13" s="11">
        <f t="shared" si="3"/>
        <v>0</v>
      </c>
      <c r="V13" s="11">
        <f t="shared" si="3"/>
        <v>0</v>
      </c>
      <c r="W13" s="11">
        <f t="shared" si="3"/>
        <v>0</v>
      </c>
      <c r="X13" s="11">
        <f t="shared" si="3"/>
        <v>0</v>
      </c>
      <c r="Y13" s="11">
        <f t="shared" si="3"/>
        <v>0</v>
      </c>
      <c r="Z13" s="11">
        <f t="shared" si="3"/>
        <v>0</v>
      </c>
      <c r="AA13" s="11">
        <f t="shared" si="3"/>
        <v>0</v>
      </c>
      <c r="AB13" s="11">
        <f t="shared" si="3"/>
        <v>0</v>
      </c>
      <c r="AC13" s="11">
        <f t="shared" si="3"/>
        <v>0</v>
      </c>
      <c r="AD13" s="11">
        <f t="shared" si="3"/>
        <v>0</v>
      </c>
      <c r="AE13" s="11">
        <f t="shared" si="3"/>
        <v>0</v>
      </c>
      <c r="AF13" s="11">
        <f t="shared" si="3"/>
        <v>0</v>
      </c>
      <c r="AG13" s="11">
        <f t="shared" si="3"/>
        <v>0</v>
      </c>
      <c r="AH13" s="11">
        <f t="shared" si="3"/>
        <v>0</v>
      </c>
      <c r="AI13" s="11">
        <f t="shared" si="3"/>
        <v>0</v>
      </c>
      <c r="AJ13" s="11">
        <f t="shared" si="3"/>
        <v>0</v>
      </c>
      <c r="AK13" s="11">
        <f t="shared" si="3"/>
        <v>0</v>
      </c>
      <c r="AL13" s="11">
        <f t="shared" si="3"/>
        <v>0</v>
      </c>
      <c r="AM13" s="11">
        <f t="shared" si="3"/>
        <v>0</v>
      </c>
      <c r="AN13" s="11">
        <f t="shared" si="3"/>
        <v>0</v>
      </c>
      <c r="AO13" s="11">
        <f t="shared" si="3"/>
        <v>0</v>
      </c>
      <c r="AP13" s="11">
        <f t="shared" si="3"/>
        <v>0</v>
      </c>
      <c r="AQ13" s="11">
        <f t="shared" si="3"/>
        <v>0</v>
      </c>
      <c r="AR13" s="11">
        <f t="shared" si="3"/>
        <v>0</v>
      </c>
      <c r="AS13" s="11">
        <f t="shared" si="3"/>
        <v>0</v>
      </c>
      <c r="AT13" s="11">
        <f t="shared" si="3"/>
        <v>0</v>
      </c>
      <c r="AU13" s="11">
        <f t="shared" si="3"/>
        <v>0</v>
      </c>
      <c r="AV13" s="11">
        <f t="shared" si="3"/>
        <v>0</v>
      </c>
      <c r="AW13" s="11">
        <f t="shared" si="3"/>
        <v>0</v>
      </c>
    </row>
    <row r="14" spans="1:50" ht="16" x14ac:dyDescent="0.2">
      <c r="A14" s="19"/>
      <c r="B14" s="20"/>
      <c r="C14" s="21"/>
      <c r="D14" s="21"/>
      <c r="E14" s="21"/>
      <c r="F14" s="21"/>
      <c r="G14" s="21"/>
      <c r="H14" s="21"/>
      <c r="I14" s="21"/>
      <c r="J14" s="21"/>
      <c r="K14" s="21"/>
      <c r="L14" s="21"/>
      <c r="M14" s="21"/>
      <c r="N14" s="21"/>
      <c r="O14" s="21"/>
      <c r="P14" s="21"/>
      <c r="Q14" s="21"/>
      <c r="R14" s="21"/>
      <c r="S14" s="21"/>
      <c r="T14" s="21"/>
      <c r="U14" s="21"/>
      <c r="V14" s="21"/>
      <c r="W14" s="21"/>
      <c r="X14" s="21"/>
      <c r="Y14" s="21"/>
      <c r="Z14" s="21"/>
      <c r="AA14" s="22"/>
      <c r="AB14" s="22"/>
      <c r="AC14" s="22"/>
      <c r="AD14" s="22"/>
      <c r="AE14" s="22"/>
      <c r="AF14" s="22"/>
      <c r="AG14" s="22"/>
      <c r="AH14" s="22"/>
      <c r="AI14" s="22"/>
      <c r="AJ14" s="22"/>
      <c r="AK14" s="22"/>
      <c r="AL14" s="22"/>
      <c r="AM14" s="22"/>
      <c r="AN14" s="22"/>
      <c r="AO14" s="22"/>
      <c r="AP14" s="22"/>
      <c r="AQ14" s="22"/>
      <c r="AR14" s="22"/>
      <c r="AS14" s="22"/>
      <c r="AT14" s="22"/>
      <c r="AU14" s="22"/>
      <c r="AV14" s="22"/>
      <c r="AW14" s="22"/>
    </row>
    <row r="15" spans="1:50" ht="16" x14ac:dyDescent="0.2">
      <c r="A15" s="8" t="s">
        <v>13</v>
      </c>
      <c r="B15" s="12">
        <v>0</v>
      </c>
      <c r="C15" s="12">
        <v>0</v>
      </c>
      <c r="D15" s="12">
        <v>0</v>
      </c>
      <c r="E15" s="12">
        <v>0</v>
      </c>
      <c r="F15" s="12">
        <v>0</v>
      </c>
      <c r="G15" s="12">
        <v>0</v>
      </c>
      <c r="H15" s="12">
        <v>0</v>
      </c>
      <c r="I15" s="12">
        <v>0</v>
      </c>
      <c r="J15" s="12">
        <v>0</v>
      </c>
      <c r="K15" s="12">
        <v>0</v>
      </c>
      <c r="L15" s="12">
        <v>0</v>
      </c>
      <c r="M15" s="12">
        <v>0</v>
      </c>
      <c r="N15" s="12">
        <v>0</v>
      </c>
      <c r="O15" s="12">
        <v>0</v>
      </c>
      <c r="P15" s="12">
        <v>0</v>
      </c>
      <c r="Q15" s="12">
        <v>0</v>
      </c>
      <c r="R15" s="12">
        <v>0</v>
      </c>
      <c r="S15" s="12">
        <v>0</v>
      </c>
      <c r="T15" s="12">
        <v>0</v>
      </c>
      <c r="U15" s="12">
        <v>0</v>
      </c>
      <c r="V15" s="12">
        <v>0</v>
      </c>
      <c r="W15" s="12">
        <v>0</v>
      </c>
      <c r="X15" s="12">
        <v>0</v>
      </c>
      <c r="Y15" s="12">
        <v>0</v>
      </c>
      <c r="Z15" s="12">
        <v>0</v>
      </c>
      <c r="AA15" s="13">
        <v>0</v>
      </c>
      <c r="AB15" s="13">
        <v>0</v>
      </c>
      <c r="AC15" s="13">
        <v>0</v>
      </c>
      <c r="AD15" s="13">
        <v>0</v>
      </c>
      <c r="AE15" s="13">
        <v>0</v>
      </c>
      <c r="AF15" s="13">
        <v>0</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0</v>
      </c>
    </row>
    <row r="16" spans="1:50" ht="16" x14ac:dyDescent="0.2">
      <c r="A16" s="8" t="s">
        <v>14</v>
      </c>
      <c r="B16" s="12">
        <v>0</v>
      </c>
      <c r="C16" s="12">
        <v>0</v>
      </c>
      <c r="D16" s="12">
        <v>0</v>
      </c>
      <c r="E16" s="12">
        <v>0</v>
      </c>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v>0</v>
      </c>
      <c r="W16" s="12">
        <v>0</v>
      </c>
      <c r="X16" s="12">
        <v>0</v>
      </c>
      <c r="Y16" s="12">
        <v>0</v>
      </c>
      <c r="Z16" s="12">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0</v>
      </c>
      <c r="AV16" s="13">
        <v>0</v>
      </c>
      <c r="AW16" s="13">
        <v>0</v>
      </c>
    </row>
    <row r="17" spans="1:49" ht="16" x14ac:dyDescent="0.2">
      <c r="A17" s="14" t="s">
        <v>15</v>
      </c>
      <c r="B17" s="15">
        <f t="shared" ref="B17:AW17" si="4">B12-B16-B15</f>
        <v>0</v>
      </c>
      <c r="C17" s="15">
        <f t="shared" si="4"/>
        <v>0</v>
      </c>
      <c r="D17" s="15">
        <f t="shared" si="4"/>
        <v>0</v>
      </c>
      <c r="E17" s="15">
        <f t="shared" si="4"/>
        <v>0</v>
      </c>
      <c r="F17" s="15">
        <f t="shared" si="4"/>
        <v>0</v>
      </c>
      <c r="G17" s="15">
        <f t="shared" si="4"/>
        <v>0</v>
      </c>
      <c r="H17" s="15">
        <f t="shared" si="4"/>
        <v>0</v>
      </c>
      <c r="I17" s="15">
        <f t="shared" si="4"/>
        <v>0</v>
      </c>
      <c r="J17" s="15">
        <f t="shared" si="4"/>
        <v>0</v>
      </c>
      <c r="K17" s="15">
        <f t="shared" si="4"/>
        <v>0</v>
      </c>
      <c r="L17" s="15">
        <f t="shared" si="4"/>
        <v>0</v>
      </c>
      <c r="M17" s="15">
        <f t="shared" si="4"/>
        <v>0</v>
      </c>
      <c r="N17" s="15">
        <f t="shared" si="4"/>
        <v>0</v>
      </c>
      <c r="O17" s="15">
        <f t="shared" si="4"/>
        <v>0</v>
      </c>
      <c r="P17" s="15">
        <f t="shared" si="4"/>
        <v>0</v>
      </c>
      <c r="Q17" s="15">
        <f t="shared" si="4"/>
        <v>0</v>
      </c>
      <c r="R17" s="15">
        <f t="shared" si="4"/>
        <v>0</v>
      </c>
      <c r="S17" s="15">
        <f t="shared" si="4"/>
        <v>0</v>
      </c>
      <c r="T17" s="15">
        <f t="shared" si="4"/>
        <v>0</v>
      </c>
      <c r="U17" s="15">
        <f t="shared" si="4"/>
        <v>0</v>
      </c>
      <c r="V17" s="15">
        <f t="shared" si="4"/>
        <v>0</v>
      </c>
      <c r="W17" s="15">
        <f t="shared" si="4"/>
        <v>0</v>
      </c>
      <c r="X17" s="15">
        <f t="shared" si="4"/>
        <v>0</v>
      </c>
      <c r="Y17" s="15">
        <f t="shared" si="4"/>
        <v>0</v>
      </c>
      <c r="Z17" s="15">
        <f t="shared" si="4"/>
        <v>0</v>
      </c>
      <c r="AA17" s="16">
        <f t="shared" si="4"/>
        <v>0</v>
      </c>
      <c r="AB17" s="16">
        <f t="shared" si="4"/>
        <v>0</v>
      </c>
      <c r="AC17" s="16">
        <f t="shared" si="4"/>
        <v>0</v>
      </c>
      <c r="AD17" s="16">
        <f t="shared" si="4"/>
        <v>0</v>
      </c>
      <c r="AE17" s="16">
        <f t="shared" si="4"/>
        <v>0</v>
      </c>
      <c r="AF17" s="16">
        <f t="shared" si="4"/>
        <v>0</v>
      </c>
      <c r="AG17" s="16">
        <f t="shared" si="4"/>
        <v>0</v>
      </c>
      <c r="AH17" s="16">
        <f t="shared" si="4"/>
        <v>0</v>
      </c>
      <c r="AI17" s="16">
        <f t="shared" si="4"/>
        <v>0</v>
      </c>
      <c r="AJ17" s="16">
        <f t="shared" si="4"/>
        <v>0</v>
      </c>
      <c r="AK17" s="16">
        <f t="shared" si="4"/>
        <v>0</v>
      </c>
      <c r="AL17" s="16">
        <f t="shared" si="4"/>
        <v>0</v>
      </c>
      <c r="AM17" s="16">
        <f t="shared" si="4"/>
        <v>0</v>
      </c>
      <c r="AN17" s="16">
        <f t="shared" si="4"/>
        <v>0</v>
      </c>
      <c r="AO17" s="16">
        <f t="shared" si="4"/>
        <v>0</v>
      </c>
      <c r="AP17" s="16">
        <f t="shared" si="4"/>
        <v>0</v>
      </c>
      <c r="AQ17" s="16">
        <f t="shared" si="4"/>
        <v>0</v>
      </c>
      <c r="AR17" s="16">
        <f t="shared" si="4"/>
        <v>0</v>
      </c>
      <c r="AS17" s="16">
        <f t="shared" si="4"/>
        <v>0</v>
      </c>
      <c r="AT17" s="16">
        <f t="shared" si="4"/>
        <v>0</v>
      </c>
      <c r="AU17" s="16">
        <f t="shared" si="4"/>
        <v>0</v>
      </c>
      <c r="AV17" s="16">
        <f t="shared" si="4"/>
        <v>0</v>
      </c>
      <c r="AW17" s="16">
        <f t="shared" si="4"/>
        <v>0</v>
      </c>
    </row>
    <row r="18" spans="1:49" ht="16" x14ac:dyDescent="0.2">
      <c r="A18" s="8" t="s">
        <v>16</v>
      </c>
      <c r="B18" s="12">
        <v>0</v>
      </c>
      <c r="C18" s="12">
        <v>0</v>
      </c>
      <c r="D18" s="12">
        <v>0</v>
      </c>
      <c r="E18" s="12">
        <v>0</v>
      </c>
      <c r="F18" s="12">
        <v>0</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3">
        <v>0</v>
      </c>
      <c r="AB18" s="13">
        <v>0</v>
      </c>
      <c r="AC18" s="13">
        <v>0</v>
      </c>
      <c r="AD18" s="13">
        <v>0</v>
      </c>
      <c r="AE18" s="13">
        <v>0</v>
      </c>
      <c r="AF18" s="13">
        <v>0</v>
      </c>
      <c r="AG18" s="13">
        <v>0</v>
      </c>
      <c r="AH18" s="13">
        <v>0</v>
      </c>
      <c r="AI18" s="13">
        <v>0</v>
      </c>
      <c r="AJ18" s="13">
        <v>0</v>
      </c>
      <c r="AK18" s="13">
        <v>0</v>
      </c>
      <c r="AL18" s="13">
        <v>0</v>
      </c>
      <c r="AM18" s="13">
        <v>0</v>
      </c>
      <c r="AN18" s="13">
        <v>0</v>
      </c>
      <c r="AO18" s="13">
        <v>0</v>
      </c>
      <c r="AP18" s="13">
        <v>0</v>
      </c>
      <c r="AQ18" s="13">
        <v>0</v>
      </c>
      <c r="AR18" s="13">
        <v>0</v>
      </c>
      <c r="AS18" s="13">
        <v>0</v>
      </c>
      <c r="AT18" s="13">
        <v>0</v>
      </c>
      <c r="AU18" s="13">
        <v>0</v>
      </c>
      <c r="AV18" s="13">
        <v>0</v>
      </c>
      <c r="AW18" s="13">
        <v>0</v>
      </c>
    </row>
    <row r="19" spans="1:49" ht="16" x14ac:dyDescent="0.2">
      <c r="A19" s="14" t="s">
        <v>17</v>
      </c>
      <c r="B19" s="15">
        <f t="shared" ref="B19:AW19" si="5">B17-B18</f>
        <v>0</v>
      </c>
      <c r="C19" s="15">
        <f t="shared" si="5"/>
        <v>0</v>
      </c>
      <c r="D19" s="15">
        <f t="shared" si="5"/>
        <v>0</v>
      </c>
      <c r="E19" s="15">
        <f t="shared" si="5"/>
        <v>0</v>
      </c>
      <c r="F19" s="15">
        <f t="shared" si="5"/>
        <v>0</v>
      </c>
      <c r="G19" s="15">
        <f t="shared" si="5"/>
        <v>0</v>
      </c>
      <c r="H19" s="15">
        <f t="shared" si="5"/>
        <v>0</v>
      </c>
      <c r="I19" s="15">
        <f t="shared" si="5"/>
        <v>0</v>
      </c>
      <c r="J19" s="15">
        <f t="shared" si="5"/>
        <v>0</v>
      </c>
      <c r="K19" s="15">
        <f t="shared" si="5"/>
        <v>0</v>
      </c>
      <c r="L19" s="15">
        <f t="shared" si="5"/>
        <v>0</v>
      </c>
      <c r="M19" s="15">
        <f t="shared" si="5"/>
        <v>0</v>
      </c>
      <c r="N19" s="15">
        <f t="shared" si="5"/>
        <v>0</v>
      </c>
      <c r="O19" s="15">
        <f t="shared" si="5"/>
        <v>0</v>
      </c>
      <c r="P19" s="15">
        <f t="shared" si="5"/>
        <v>0</v>
      </c>
      <c r="Q19" s="15">
        <f t="shared" si="5"/>
        <v>0</v>
      </c>
      <c r="R19" s="15">
        <f t="shared" si="5"/>
        <v>0</v>
      </c>
      <c r="S19" s="15">
        <f t="shared" si="5"/>
        <v>0</v>
      </c>
      <c r="T19" s="15">
        <f t="shared" si="5"/>
        <v>0</v>
      </c>
      <c r="U19" s="15">
        <f t="shared" si="5"/>
        <v>0</v>
      </c>
      <c r="V19" s="15">
        <f t="shared" si="5"/>
        <v>0</v>
      </c>
      <c r="W19" s="15">
        <f t="shared" si="5"/>
        <v>0</v>
      </c>
      <c r="X19" s="15">
        <f t="shared" si="5"/>
        <v>0</v>
      </c>
      <c r="Y19" s="15">
        <f t="shared" si="5"/>
        <v>0</v>
      </c>
      <c r="Z19" s="15">
        <f t="shared" si="5"/>
        <v>0</v>
      </c>
      <c r="AA19" s="16">
        <f t="shared" si="5"/>
        <v>0</v>
      </c>
      <c r="AB19" s="16">
        <f t="shared" si="5"/>
        <v>0</v>
      </c>
      <c r="AC19" s="16">
        <f t="shared" si="5"/>
        <v>0</v>
      </c>
      <c r="AD19" s="16">
        <f t="shared" si="5"/>
        <v>0</v>
      </c>
      <c r="AE19" s="16">
        <f t="shared" si="5"/>
        <v>0</v>
      </c>
      <c r="AF19" s="16">
        <f t="shared" si="5"/>
        <v>0</v>
      </c>
      <c r="AG19" s="16">
        <f t="shared" si="5"/>
        <v>0</v>
      </c>
      <c r="AH19" s="16">
        <f t="shared" si="5"/>
        <v>0</v>
      </c>
      <c r="AI19" s="16">
        <f t="shared" si="5"/>
        <v>0</v>
      </c>
      <c r="AJ19" s="16">
        <f t="shared" si="5"/>
        <v>0</v>
      </c>
      <c r="AK19" s="16">
        <f t="shared" si="5"/>
        <v>0</v>
      </c>
      <c r="AL19" s="16">
        <f t="shared" si="5"/>
        <v>0</v>
      </c>
      <c r="AM19" s="16">
        <f t="shared" si="5"/>
        <v>0</v>
      </c>
      <c r="AN19" s="16">
        <f t="shared" si="5"/>
        <v>0</v>
      </c>
      <c r="AO19" s="16">
        <f t="shared" si="5"/>
        <v>0</v>
      </c>
      <c r="AP19" s="16">
        <f t="shared" si="5"/>
        <v>0</v>
      </c>
      <c r="AQ19" s="16">
        <f t="shared" si="5"/>
        <v>0</v>
      </c>
      <c r="AR19" s="16">
        <f t="shared" si="5"/>
        <v>0</v>
      </c>
      <c r="AS19" s="16">
        <f t="shared" si="5"/>
        <v>0</v>
      </c>
      <c r="AT19" s="16">
        <f t="shared" si="5"/>
        <v>0</v>
      </c>
      <c r="AU19" s="16">
        <f t="shared" si="5"/>
        <v>0</v>
      </c>
      <c r="AV19" s="16">
        <f t="shared" si="5"/>
        <v>0</v>
      </c>
      <c r="AW19" s="16">
        <f t="shared" si="5"/>
        <v>0</v>
      </c>
    </row>
    <row r="20" spans="1:49" ht="16" x14ac:dyDescent="0.2">
      <c r="A20" s="17" t="s">
        <v>18</v>
      </c>
      <c r="B20" s="11">
        <f t="shared" ref="B20:AW20" si="6">IFERROR(B19/B$12,0)</f>
        <v>0</v>
      </c>
      <c r="C20" s="11">
        <f t="shared" si="6"/>
        <v>0</v>
      </c>
      <c r="D20" s="11">
        <f t="shared" si="6"/>
        <v>0</v>
      </c>
      <c r="E20" s="11">
        <f t="shared" si="6"/>
        <v>0</v>
      </c>
      <c r="F20" s="11">
        <f t="shared" si="6"/>
        <v>0</v>
      </c>
      <c r="G20" s="11">
        <f t="shared" si="6"/>
        <v>0</v>
      </c>
      <c r="H20" s="11">
        <f t="shared" si="6"/>
        <v>0</v>
      </c>
      <c r="I20" s="11">
        <f t="shared" si="6"/>
        <v>0</v>
      </c>
      <c r="J20" s="11">
        <f t="shared" si="6"/>
        <v>0</v>
      </c>
      <c r="K20" s="11">
        <f t="shared" si="6"/>
        <v>0</v>
      </c>
      <c r="L20" s="11">
        <f t="shared" si="6"/>
        <v>0</v>
      </c>
      <c r="M20" s="11">
        <f t="shared" si="6"/>
        <v>0</v>
      </c>
      <c r="N20" s="11">
        <f t="shared" si="6"/>
        <v>0</v>
      </c>
      <c r="O20" s="11">
        <f t="shared" si="6"/>
        <v>0</v>
      </c>
      <c r="P20" s="11">
        <f t="shared" si="6"/>
        <v>0</v>
      </c>
      <c r="Q20" s="11">
        <f t="shared" si="6"/>
        <v>0</v>
      </c>
      <c r="R20" s="11">
        <f t="shared" si="6"/>
        <v>0</v>
      </c>
      <c r="S20" s="11">
        <f t="shared" si="6"/>
        <v>0</v>
      </c>
      <c r="T20" s="11">
        <f t="shared" si="6"/>
        <v>0</v>
      </c>
      <c r="U20" s="11">
        <f t="shared" si="6"/>
        <v>0</v>
      </c>
      <c r="V20" s="11">
        <f t="shared" si="6"/>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c r="AF20" s="11">
        <f t="shared" si="6"/>
        <v>0</v>
      </c>
      <c r="AG20" s="11">
        <f t="shared" si="6"/>
        <v>0</v>
      </c>
      <c r="AH20" s="11">
        <f t="shared" si="6"/>
        <v>0</v>
      </c>
      <c r="AI20" s="11">
        <f t="shared" si="6"/>
        <v>0</v>
      </c>
      <c r="AJ20" s="11">
        <f t="shared" si="6"/>
        <v>0</v>
      </c>
      <c r="AK20" s="11">
        <f t="shared" si="6"/>
        <v>0</v>
      </c>
      <c r="AL20" s="11">
        <f t="shared" si="6"/>
        <v>0</v>
      </c>
      <c r="AM20" s="11">
        <f t="shared" si="6"/>
        <v>0</v>
      </c>
      <c r="AN20" s="11">
        <f t="shared" si="6"/>
        <v>0</v>
      </c>
      <c r="AO20" s="11">
        <f t="shared" si="6"/>
        <v>0</v>
      </c>
      <c r="AP20" s="11">
        <f t="shared" si="6"/>
        <v>0</v>
      </c>
      <c r="AQ20" s="11">
        <f t="shared" si="6"/>
        <v>0</v>
      </c>
      <c r="AR20" s="11">
        <f t="shared" si="6"/>
        <v>0</v>
      </c>
      <c r="AS20" s="11">
        <f t="shared" si="6"/>
        <v>0</v>
      </c>
      <c r="AT20" s="11">
        <f t="shared" si="6"/>
        <v>0</v>
      </c>
      <c r="AU20" s="11">
        <f t="shared" si="6"/>
        <v>0</v>
      </c>
      <c r="AV20" s="11">
        <f t="shared" si="6"/>
        <v>0</v>
      </c>
      <c r="AW20" s="11">
        <f t="shared" si="6"/>
        <v>0</v>
      </c>
    </row>
    <row r="21" spans="1:49" ht="15.75" customHeight="1" x14ac:dyDescent="0.2">
      <c r="A21" s="23"/>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4"/>
      <c r="AB21" s="24"/>
      <c r="AC21" s="24"/>
      <c r="AD21" s="24"/>
      <c r="AE21" s="24"/>
      <c r="AF21" s="24"/>
      <c r="AG21" s="24"/>
      <c r="AH21" s="24"/>
      <c r="AI21" s="24"/>
      <c r="AJ21" s="24"/>
      <c r="AK21" s="24"/>
      <c r="AL21" s="24"/>
      <c r="AM21" s="24"/>
      <c r="AN21" s="24"/>
      <c r="AO21" s="24"/>
      <c r="AP21" s="24"/>
      <c r="AQ21" s="24"/>
      <c r="AR21" s="24"/>
      <c r="AS21" s="24"/>
      <c r="AT21" s="24"/>
      <c r="AU21" s="24"/>
      <c r="AV21" s="24"/>
      <c r="AW21" s="24"/>
    </row>
    <row r="22" spans="1:49" ht="15.75" customHeight="1" x14ac:dyDescent="0.2">
      <c r="A22" s="25" t="s">
        <v>19</v>
      </c>
      <c r="B22" s="26">
        <f t="shared" ref="B22:AW22" si="7">B23+B28+B33+B38</f>
        <v>0</v>
      </c>
      <c r="C22" s="26">
        <f t="shared" si="7"/>
        <v>0</v>
      </c>
      <c r="D22" s="26">
        <f t="shared" si="7"/>
        <v>0</v>
      </c>
      <c r="E22" s="26">
        <f t="shared" si="7"/>
        <v>0</v>
      </c>
      <c r="F22" s="26">
        <f t="shared" si="7"/>
        <v>0</v>
      </c>
      <c r="G22" s="26">
        <f t="shared" si="7"/>
        <v>0</v>
      </c>
      <c r="H22" s="26">
        <f t="shared" si="7"/>
        <v>0</v>
      </c>
      <c r="I22" s="26">
        <f t="shared" si="7"/>
        <v>0</v>
      </c>
      <c r="J22" s="26">
        <f t="shared" si="7"/>
        <v>0</v>
      </c>
      <c r="K22" s="26">
        <f t="shared" si="7"/>
        <v>0</v>
      </c>
      <c r="L22" s="26">
        <f t="shared" si="7"/>
        <v>0</v>
      </c>
      <c r="M22" s="26">
        <f t="shared" si="7"/>
        <v>0</v>
      </c>
      <c r="N22" s="26">
        <f t="shared" si="7"/>
        <v>0</v>
      </c>
      <c r="O22" s="26">
        <f t="shared" si="7"/>
        <v>0</v>
      </c>
      <c r="P22" s="26">
        <f t="shared" si="7"/>
        <v>0</v>
      </c>
      <c r="Q22" s="26">
        <f t="shared" si="7"/>
        <v>0</v>
      </c>
      <c r="R22" s="26">
        <f t="shared" si="7"/>
        <v>0</v>
      </c>
      <c r="S22" s="26">
        <f t="shared" si="7"/>
        <v>0</v>
      </c>
      <c r="T22" s="26">
        <f t="shared" si="7"/>
        <v>0</v>
      </c>
      <c r="U22" s="26">
        <f t="shared" si="7"/>
        <v>0</v>
      </c>
      <c r="V22" s="26">
        <f t="shared" si="7"/>
        <v>0</v>
      </c>
      <c r="W22" s="26">
        <f t="shared" si="7"/>
        <v>0</v>
      </c>
      <c r="X22" s="26">
        <f t="shared" si="7"/>
        <v>0</v>
      </c>
      <c r="Y22" s="26">
        <f t="shared" si="7"/>
        <v>0</v>
      </c>
      <c r="Z22" s="26">
        <f t="shared" si="7"/>
        <v>0</v>
      </c>
      <c r="AA22" s="27">
        <f t="shared" si="7"/>
        <v>0</v>
      </c>
      <c r="AB22" s="27">
        <f t="shared" si="7"/>
        <v>0</v>
      </c>
      <c r="AC22" s="27">
        <f t="shared" si="7"/>
        <v>0</v>
      </c>
      <c r="AD22" s="27">
        <f t="shared" si="7"/>
        <v>0</v>
      </c>
      <c r="AE22" s="27">
        <f t="shared" si="7"/>
        <v>0</v>
      </c>
      <c r="AF22" s="27">
        <f t="shared" si="7"/>
        <v>0</v>
      </c>
      <c r="AG22" s="27">
        <f t="shared" si="7"/>
        <v>0</v>
      </c>
      <c r="AH22" s="27">
        <f t="shared" si="7"/>
        <v>0</v>
      </c>
      <c r="AI22" s="27">
        <f t="shared" si="7"/>
        <v>0</v>
      </c>
      <c r="AJ22" s="27">
        <f t="shared" si="7"/>
        <v>0</v>
      </c>
      <c r="AK22" s="27">
        <f t="shared" si="7"/>
        <v>0</v>
      </c>
      <c r="AL22" s="27">
        <f t="shared" si="7"/>
        <v>0</v>
      </c>
      <c r="AM22" s="27">
        <f t="shared" si="7"/>
        <v>0</v>
      </c>
      <c r="AN22" s="27">
        <f t="shared" si="7"/>
        <v>0</v>
      </c>
      <c r="AO22" s="27">
        <f t="shared" si="7"/>
        <v>0</v>
      </c>
      <c r="AP22" s="27">
        <f t="shared" si="7"/>
        <v>0</v>
      </c>
      <c r="AQ22" s="27">
        <f t="shared" si="7"/>
        <v>0</v>
      </c>
      <c r="AR22" s="27">
        <f t="shared" si="7"/>
        <v>0</v>
      </c>
      <c r="AS22" s="27">
        <f t="shared" si="7"/>
        <v>0</v>
      </c>
      <c r="AT22" s="27">
        <f t="shared" si="7"/>
        <v>0</v>
      </c>
      <c r="AU22" s="27">
        <f t="shared" si="7"/>
        <v>0</v>
      </c>
      <c r="AV22" s="27">
        <f t="shared" si="7"/>
        <v>0</v>
      </c>
      <c r="AW22" s="27">
        <f t="shared" si="7"/>
        <v>0</v>
      </c>
    </row>
    <row r="23" spans="1:49" ht="15.75" customHeight="1" outlineLevel="1" x14ac:dyDescent="0.2">
      <c r="A23" s="14" t="s">
        <v>20</v>
      </c>
      <c r="B23" s="26">
        <f t="shared" ref="B23:AW23" si="8">B25+B26</f>
        <v>0</v>
      </c>
      <c r="C23" s="26">
        <f t="shared" si="8"/>
        <v>0</v>
      </c>
      <c r="D23" s="26">
        <f t="shared" si="8"/>
        <v>0</v>
      </c>
      <c r="E23" s="26">
        <f t="shared" si="8"/>
        <v>0</v>
      </c>
      <c r="F23" s="26">
        <f t="shared" si="8"/>
        <v>0</v>
      </c>
      <c r="G23" s="26">
        <f t="shared" si="8"/>
        <v>0</v>
      </c>
      <c r="H23" s="26">
        <f t="shared" si="8"/>
        <v>0</v>
      </c>
      <c r="I23" s="26">
        <f t="shared" si="8"/>
        <v>0</v>
      </c>
      <c r="J23" s="26">
        <f t="shared" si="8"/>
        <v>0</v>
      </c>
      <c r="K23" s="26">
        <f t="shared" si="8"/>
        <v>0</v>
      </c>
      <c r="L23" s="26">
        <f t="shared" si="8"/>
        <v>0</v>
      </c>
      <c r="M23" s="26">
        <f t="shared" si="8"/>
        <v>0</v>
      </c>
      <c r="N23" s="26">
        <f t="shared" si="8"/>
        <v>0</v>
      </c>
      <c r="O23" s="26">
        <f t="shared" si="8"/>
        <v>0</v>
      </c>
      <c r="P23" s="26">
        <f t="shared" si="8"/>
        <v>0</v>
      </c>
      <c r="Q23" s="26">
        <f t="shared" si="8"/>
        <v>0</v>
      </c>
      <c r="R23" s="26">
        <f t="shared" si="8"/>
        <v>0</v>
      </c>
      <c r="S23" s="26">
        <f t="shared" si="8"/>
        <v>0</v>
      </c>
      <c r="T23" s="26">
        <f t="shared" si="8"/>
        <v>0</v>
      </c>
      <c r="U23" s="26">
        <f t="shared" si="8"/>
        <v>0</v>
      </c>
      <c r="V23" s="26">
        <f t="shared" si="8"/>
        <v>0</v>
      </c>
      <c r="W23" s="26">
        <f t="shared" si="8"/>
        <v>0</v>
      </c>
      <c r="X23" s="26">
        <f t="shared" si="8"/>
        <v>0</v>
      </c>
      <c r="Y23" s="26">
        <f t="shared" si="8"/>
        <v>0</v>
      </c>
      <c r="Z23" s="26">
        <f t="shared" si="8"/>
        <v>0</v>
      </c>
      <c r="AA23" s="27">
        <f t="shared" si="8"/>
        <v>0</v>
      </c>
      <c r="AB23" s="27">
        <f t="shared" si="8"/>
        <v>0</v>
      </c>
      <c r="AC23" s="27">
        <f t="shared" si="8"/>
        <v>0</v>
      </c>
      <c r="AD23" s="27">
        <f t="shared" si="8"/>
        <v>0</v>
      </c>
      <c r="AE23" s="27">
        <f t="shared" si="8"/>
        <v>0</v>
      </c>
      <c r="AF23" s="27">
        <f t="shared" si="8"/>
        <v>0</v>
      </c>
      <c r="AG23" s="27">
        <f t="shared" si="8"/>
        <v>0</v>
      </c>
      <c r="AH23" s="27">
        <f t="shared" si="8"/>
        <v>0</v>
      </c>
      <c r="AI23" s="27">
        <f t="shared" si="8"/>
        <v>0</v>
      </c>
      <c r="AJ23" s="27">
        <f t="shared" si="8"/>
        <v>0</v>
      </c>
      <c r="AK23" s="27">
        <f t="shared" si="8"/>
        <v>0</v>
      </c>
      <c r="AL23" s="27">
        <f t="shared" si="8"/>
        <v>0</v>
      </c>
      <c r="AM23" s="27">
        <f t="shared" si="8"/>
        <v>0</v>
      </c>
      <c r="AN23" s="27">
        <f t="shared" si="8"/>
        <v>0</v>
      </c>
      <c r="AO23" s="27">
        <f t="shared" si="8"/>
        <v>0</v>
      </c>
      <c r="AP23" s="27">
        <f t="shared" si="8"/>
        <v>0</v>
      </c>
      <c r="AQ23" s="27">
        <f t="shared" si="8"/>
        <v>0</v>
      </c>
      <c r="AR23" s="27">
        <f t="shared" si="8"/>
        <v>0</v>
      </c>
      <c r="AS23" s="27">
        <f t="shared" si="8"/>
        <v>0</v>
      </c>
      <c r="AT23" s="27">
        <f t="shared" si="8"/>
        <v>0</v>
      </c>
      <c r="AU23" s="27">
        <f t="shared" si="8"/>
        <v>0</v>
      </c>
      <c r="AV23" s="27">
        <f t="shared" si="8"/>
        <v>0</v>
      </c>
      <c r="AW23" s="27">
        <f t="shared" si="8"/>
        <v>0</v>
      </c>
    </row>
    <row r="24" spans="1:49" ht="15.75" customHeight="1" outlineLevel="1" x14ac:dyDescent="0.2">
      <c r="A24" s="28" t="s">
        <v>21</v>
      </c>
      <c r="B24" s="9">
        <v>0</v>
      </c>
      <c r="C24" s="9">
        <v>0</v>
      </c>
      <c r="D24" s="9">
        <v>0</v>
      </c>
      <c r="E24" s="9">
        <v>0</v>
      </c>
      <c r="F24" s="9">
        <v>0</v>
      </c>
      <c r="G24" s="9">
        <v>0</v>
      </c>
      <c r="H24" s="9">
        <v>0</v>
      </c>
      <c r="I24" s="9">
        <v>0</v>
      </c>
      <c r="J24" s="9">
        <v>0</v>
      </c>
      <c r="K24" s="9">
        <v>0</v>
      </c>
      <c r="L24" s="9">
        <v>0</v>
      </c>
      <c r="M24" s="9">
        <v>0</v>
      </c>
      <c r="N24" s="9">
        <v>0</v>
      </c>
      <c r="O24" s="9">
        <v>0</v>
      </c>
      <c r="P24" s="9">
        <v>0</v>
      </c>
      <c r="Q24" s="9">
        <v>0</v>
      </c>
      <c r="R24" s="9">
        <v>0</v>
      </c>
      <c r="S24" s="9">
        <v>0</v>
      </c>
      <c r="T24" s="9">
        <v>0</v>
      </c>
      <c r="U24" s="9">
        <v>0</v>
      </c>
      <c r="V24" s="9">
        <v>0</v>
      </c>
      <c r="W24" s="9">
        <v>0</v>
      </c>
      <c r="X24" s="9">
        <v>0</v>
      </c>
      <c r="Y24" s="9">
        <v>0</v>
      </c>
      <c r="Z24" s="9">
        <v>0</v>
      </c>
      <c r="AA24" s="29">
        <v>0</v>
      </c>
      <c r="AB24" s="29">
        <v>0</v>
      </c>
      <c r="AC24" s="29">
        <v>0</v>
      </c>
      <c r="AD24" s="29">
        <v>0</v>
      </c>
      <c r="AE24" s="29">
        <v>0</v>
      </c>
      <c r="AF24" s="29">
        <v>0</v>
      </c>
      <c r="AG24" s="29">
        <v>0</v>
      </c>
      <c r="AH24" s="29">
        <v>0</v>
      </c>
      <c r="AI24" s="29">
        <v>0</v>
      </c>
      <c r="AJ24" s="29">
        <v>0</v>
      </c>
      <c r="AK24" s="29">
        <v>0</v>
      </c>
      <c r="AL24" s="29">
        <v>0</v>
      </c>
      <c r="AM24" s="29">
        <v>0</v>
      </c>
      <c r="AN24" s="29">
        <v>0</v>
      </c>
      <c r="AO24" s="29">
        <v>0</v>
      </c>
      <c r="AP24" s="29">
        <v>0</v>
      </c>
      <c r="AQ24" s="29">
        <v>0</v>
      </c>
      <c r="AR24" s="29">
        <v>0</v>
      </c>
      <c r="AS24" s="29">
        <v>0</v>
      </c>
      <c r="AT24" s="29">
        <v>0</v>
      </c>
      <c r="AU24" s="29">
        <v>0</v>
      </c>
      <c r="AV24" s="29">
        <v>0</v>
      </c>
      <c r="AW24" s="29">
        <v>0</v>
      </c>
    </row>
    <row r="25" spans="1:49" ht="15.75" customHeight="1" outlineLevel="2" x14ac:dyDescent="0.2">
      <c r="A25" s="28" t="s">
        <v>22</v>
      </c>
      <c r="B25" s="30">
        <v>0</v>
      </c>
      <c r="C25" s="30">
        <v>0</v>
      </c>
      <c r="D25" s="30">
        <v>0</v>
      </c>
      <c r="E25" s="30">
        <v>0</v>
      </c>
      <c r="F25" s="30">
        <v>0</v>
      </c>
      <c r="G25" s="30">
        <v>0</v>
      </c>
      <c r="H25" s="30">
        <v>0</v>
      </c>
      <c r="I25" s="30">
        <v>0</v>
      </c>
      <c r="J25" s="30">
        <v>0</v>
      </c>
      <c r="K25" s="30">
        <v>0</v>
      </c>
      <c r="L25" s="30">
        <v>0</v>
      </c>
      <c r="M25" s="30">
        <v>0</v>
      </c>
      <c r="N25" s="30">
        <v>0</v>
      </c>
      <c r="O25" s="30">
        <v>0</v>
      </c>
      <c r="P25" s="30">
        <v>0</v>
      </c>
      <c r="Q25" s="30">
        <v>0</v>
      </c>
      <c r="R25" s="30">
        <v>0</v>
      </c>
      <c r="S25" s="30">
        <v>0</v>
      </c>
      <c r="T25" s="30">
        <v>0</v>
      </c>
      <c r="U25" s="30">
        <v>0</v>
      </c>
      <c r="V25" s="30">
        <v>0</v>
      </c>
      <c r="W25" s="30">
        <v>0</v>
      </c>
      <c r="X25" s="30">
        <v>0</v>
      </c>
      <c r="Y25" s="30">
        <v>0</v>
      </c>
      <c r="Z25" s="30">
        <v>0</v>
      </c>
      <c r="AA25" s="31">
        <v>0</v>
      </c>
      <c r="AB25" s="31">
        <v>0</v>
      </c>
      <c r="AC25" s="31">
        <v>0</v>
      </c>
      <c r="AD25" s="31">
        <v>0</v>
      </c>
      <c r="AE25" s="31">
        <v>0</v>
      </c>
      <c r="AF25" s="31">
        <v>0</v>
      </c>
      <c r="AG25" s="31">
        <v>0</v>
      </c>
      <c r="AH25" s="31">
        <v>0</v>
      </c>
      <c r="AI25" s="31">
        <v>0</v>
      </c>
      <c r="AJ25" s="31">
        <v>0</v>
      </c>
      <c r="AK25" s="31">
        <v>0</v>
      </c>
      <c r="AL25" s="31">
        <v>0</v>
      </c>
      <c r="AM25" s="31">
        <v>0</v>
      </c>
      <c r="AN25" s="31">
        <v>0</v>
      </c>
      <c r="AO25" s="31">
        <v>0</v>
      </c>
      <c r="AP25" s="31">
        <v>0</v>
      </c>
      <c r="AQ25" s="31">
        <v>0</v>
      </c>
      <c r="AR25" s="31">
        <v>0</v>
      </c>
      <c r="AS25" s="31">
        <v>0</v>
      </c>
      <c r="AT25" s="31">
        <v>0</v>
      </c>
      <c r="AU25" s="31">
        <v>0</v>
      </c>
      <c r="AV25" s="31">
        <v>0</v>
      </c>
      <c r="AW25" s="31">
        <v>0</v>
      </c>
    </row>
    <row r="26" spans="1:49" ht="15.75" customHeight="1" outlineLevel="2" x14ac:dyDescent="0.2">
      <c r="A26" s="28" t="s">
        <v>23</v>
      </c>
      <c r="B26" s="30">
        <v>0</v>
      </c>
      <c r="C26" s="30">
        <v>0</v>
      </c>
      <c r="D26" s="30">
        <v>0</v>
      </c>
      <c r="E26" s="30">
        <v>0</v>
      </c>
      <c r="F26" s="30">
        <v>0</v>
      </c>
      <c r="G26" s="30">
        <v>0</v>
      </c>
      <c r="H26" s="30">
        <v>0</v>
      </c>
      <c r="I26" s="30">
        <v>0</v>
      </c>
      <c r="J26" s="30">
        <v>0</v>
      </c>
      <c r="K26" s="30">
        <v>0</v>
      </c>
      <c r="L26" s="30">
        <v>0</v>
      </c>
      <c r="M26" s="30">
        <v>0</v>
      </c>
      <c r="N26" s="30">
        <v>0</v>
      </c>
      <c r="O26" s="30">
        <v>0</v>
      </c>
      <c r="P26" s="30">
        <v>0</v>
      </c>
      <c r="Q26" s="30">
        <v>0</v>
      </c>
      <c r="R26" s="30">
        <v>0</v>
      </c>
      <c r="S26" s="30">
        <v>0</v>
      </c>
      <c r="T26" s="30">
        <v>0</v>
      </c>
      <c r="U26" s="30">
        <v>0</v>
      </c>
      <c r="V26" s="30">
        <v>0</v>
      </c>
      <c r="W26" s="30">
        <v>0</v>
      </c>
      <c r="X26" s="30">
        <v>0</v>
      </c>
      <c r="Y26" s="30">
        <v>0</v>
      </c>
      <c r="Z26" s="30">
        <v>0</v>
      </c>
      <c r="AA26" s="31">
        <v>0</v>
      </c>
      <c r="AB26" s="31">
        <v>0</v>
      </c>
      <c r="AC26" s="31">
        <v>0</v>
      </c>
      <c r="AD26" s="31">
        <v>0</v>
      </c>
      <c r="AE26" s="31">
        <v>0</v>
      </c>
      <c r="AF26" s="31">
        <v>0</v>
      </c>
      <c r="AG26" s="31">
        <v>0</v>
      </c>
      <c r="AH26" s="31">
        <v>0</v>
      </c>
      <c r="AI26" s="31">
        <v>0</v>
      </c>
      <c r="AJ26" s="31">
        <v>0</v>
      </c>
      <c r="AK26" s="31">
        <v>0</v>
      </c>
      <c r="AL26" s="31">
        <v>0</v>
      </c>
      <c r="AM26" s="31">
        <v>0</v>
      </c>
      <c r="AN26" s="31">
        <v>0</v>
      </c>
      <c r="AO26" s="31">
        <v>0</v>
      </c>
      <c r="AP26" s="31">
        <v>0</v>
      </c>
      <c r="AQ26" s="31">
        <v>0</v>
      </c>
      <c r="AR26" s="31">
        <v>0</v>
      </c>
      <c r="AS26" s="31">
        <v>0</v>
      </c>
      <c r="AT26" s="31">
        <v>0</v>
      </c>
      <c r="AU26" s="31">
        <v>0</v>
      </c>
      <c r="AV26" s="31">
        <v>0</v>
      </c>
      <c r="AW26" s="31">
        <v>0</v>
      </c>
    </row>
    <row r="27" spans="1:49" ht="15.75" customHeight="1" outlineLevel="2" x14ac:dyDescent="0.2">
      <c r="A27" s="28" t="s">
        <v>24</v>
      </c>
      <c r="B27" s="30">
        <v>0</v>
      </c>
      <c r="C27" s="30">
        <v>0</v>
      </c>
      <c r="D27" s="30">
        <v>0</v>
      </c>
      <c r="E27" s="30">
        <v>0</v>
      </c>
      <c r="F27" s="30">
        <v>0</v>
      </c>
      <c r="G27" s="30">
        <v>0</v>
      </c>
      <c r="H27" s="30">
        <v>0</v>
      </c>
      <c r="I27" s="30">
        <v>0</v>
      </c>
      <c r="J27" s="30">
        <v>0</v>
      </c>
      <c r="K27" s="30">
        <v>0</v>
      </c>
      <c r="L27" s="30">
        <v>0</v>
      </c>
      <c r="M27" s="30">
        <v>0</v>
      </c>
      <c r="N27" s="30">
        <v>0</v>
      </c>
      <c r="O27" s="30">
        <v>0</v>
      </c>
      <c r="P27" s="30">
        <v>0</v>
      </c>
      <c r="Q27" s="30">
        <v>0</v>
      </c>
      <c r="R27" s="30">
        <v>0</v>
      </c>
      <c r="S27" s="30">
        <v>0</v>
      </c>
      <c r="T27" s="30">
        <v>0</v>
      </c>
      <c r="U27" s="30">
        <v>0</v>
      </c>
      <c r="V27" s="30">
        <v>0</v>
      </c>
      <c r="W27" s="30">
        <v>0</v>
      </c>
      <c r="X27" s="30">
        <v>0</v>
      </c>
      <c r="Y27" s="30">
        <v>0</v>
      </c>
      <c r="Z27" s="30">
        <v>0</v>
      </c>
      <c r="AA27" s="31">
        <v>0</v>
      </c>
      <c r="AB27" s="31">
        <v>0</v>
      </c>
      <c r="AC27" s="31">
        <v>0</v>
      </c>
      <c r="AD27" s="31">
        <v>0</v>
      </c>
      <c r="AE27" s="31">
        <v>0</v>
      </c>
      <c r="AF27" s="31">
        <v>0</v>
      </c>
      <c r="AG27" s="31">
        <v>0</v>
      </c>
      <c r="AH27" s="31">
        <v>0</v>
      </c>
      <c r="AI27" s="31">
        <v>0</v>
      </c>
      <c r="AJ27" s="31">
        <v>0</v>
      </c>
      <c r="AK27" s="31">
        <v>0</v>
      </c>
      <c r="AL27" s="31">
        <v>0</v>
      </c>
      <c r="AM27" s="31">
        <v>0</v>
      </c>
      <c r="AN27" s="31">
        <v>0</v>
      </c>
      <c r="AO27" s="31">
        <v>0</v>
      </c>
      <c r="AP27" s="31">
        <v>0</v>
      </c>
      <c r="AQ27" s="31">
        <v>0</v>
      </c>
      <c r="AR27" s="31">
        <v>0</v>
      </c>
      <c r="AS27" s="31">
        <v>0</v>
      </c>
      <c r="AT27" s="31">
        <v>0</v>
      </c>
      <c r="AU27" s="31">
        <v>0</v>
      </c>
      <c r="AV27" s="31">
        <v>0</v>
      </c>
      <c r="AW27" s="31">
        <v>0</v>
      </c>
    </row>
    <row r="28" spans="1:49" ht="15.75" customHeight="1" outlineLevel="1" x14ac:dyDescent="0.2">
      <c r="A28" s="14" t="s">
        <v>25</v>
      </c>
      <c r="B28" s="26">
        <f t="shared" ref="B28:AW28" si="9">B30+B31</f>
        <v>0</v>
      </c>
      <c r="C28" s="26">
        <f t="shared" si="9"/>
        <v>0</v>
      </c>
      <c r="D28" s="26">
        <f t="shared" si="9"/>
        <v>0</v>
      </c>
      <c r="E28" s="26">
        <f t="shared" si="9"/>
        <v>0</v>
      </c>
      <c r="F28" s="26">
        <f t="shared" si="9"/>
        <v>0</v>
      </c>
      <c r="G28" s="26">
        <f t="shared" si="9"/>
        <v>0</v>
      </c>
      <c r="H28" s="26">
        <f t="shared" si="9"/>
        <v>0</v>
      </c>
      <c r="I28" s="26">
        <f t="shared" si="9"/>
        <v>0</v>
      </c>
      <c r="J28" s="26">
        <f t="shared" si="9"/>
        <v>0</v>
      </c>
      <c r="K28" s="26">
        <f t="shared" si="9"/>
        <v>0</v>
      </c>
      <c r="L28" s="26">
        <f t="shared" si="9"/>
        <v>0</v>
      </c>
      <c r="M28" s="26">
        <f t="shared" si="9"/>
        <v>0</v>
      </c>
      <c r="N28" s="26">
        <f t="shared" si="9"/>
        <v>0</v>
      </c>
      <c r="O28" s="26">
        <f t="shared" si="9"/>
        <v>0</v>
      </c>
      <c r="P28" s="26">
        <f t="shared" si="9"/>
        <v>0</v>
      </c>
      <c r="Q28" s="26">
        <f t="shared" si="9"/>
        <v>0</v>
      </c>
      <c r="R28" s="26">
        <f t="shared" si="9"/>
        <v>0</v>
      </c>
      <c r="S28" s="26">
        <f t="shared" si="9"/>
        <v>0</v>
      </c>
      <c r="T28" s="26">
        <f t="shared" si="9"/>
        <v>0</v>
      </c>
      <c r="U28" s="26">
        <f t="shared" si="9"/>
        <v>0</v>
      </c>
      <c r="V28" s="26">
        <f t="shared" si="9"/>
        <v>0</v>
      </c>
      <c r="W28" s="26">
        <f t="shared" si="9"/>
        <v>0</v>
      </c>
      <c r="X28" s="26">
        <f t="shared" si="9"/>
        <v>0</v>
      </c>
      <c r="Y28" s="26">
        <f t="shared" si="9"/>
        <v>0</v>
      </c>
      <c r="Z28" s="26">
        <f t="shared" si="9"/>
        <v>0</v>
      </c>
      <c r="AA28" s="27">
        <f t="shared" si="9"/>
        <v>0</v>
      </c>
      <c r="AB28" s="27">
        <f t="shared" si="9"/>
        <v>0</v>
      </c>
      <c r="AC28" s="27">
        <f t="shared" si="9"/>
        <v>0</v>
      </c>
      <c r="AD28" s="27">
        <f t="shared" si="9"/>
        <v>0</v>
      </c>
      <c r="AE28" s="27">
        <f t="shared" si="9"/>
        <v>0</v>
      </c>
      <c r="AF28" s="27">
        <f t="shared" si="9"/>
        <v>0</v>
      </c>
      <c r="AG28" s="27">
        <f t="shared" si="9"/>
        <v>0</v>
      </c>
      <c r="AH28" s="27">
        <f t="shared" si="9"/>
        <v>0</v>
      </c>
      <c r="AI28" s="27">
        <f t="shared" si="9"/>
        <v>0</v>
      </c>
      <c r="AJ28" s="27">
        <f t="shared" si="9"/>
        <v>0</v>
      </c>
      <c r="AK28" s="27">
        <f t="shared" si="9"/>
        <v>0</v>
      </c>
      <c r="AL28" s="27">
        <f t="shared" si="9"/>
        <v>0</v>
      </c>
      <c r="AM28" s="27">
        <f t="shared" si="9"/>
        <v>0</v>
      </c>
      <c r="AN28" s="27">
        <f t="shared" si="9"/>
        <v>0</v>
      </c>
      <c r="AO28" s="27">
        <f t="shared" si="9"/>
        <v>0</v>
      </c>
      <c r="AP28" s="27">
        <f t="shared" si="9"/>
        <v>0</v>
      </c>
      <c r="AQ28" s="27">
        <f t="shared" si="9"/>
        <v>0</v>
      </c>
      <c r="AR28" s="27">
        <f t="shared" si="9"/>
        <v>0</v>
      </c>
      <c r="AS28" s="27">
        <f t="shared" si="9"/>
        <v>0</v>
      </c>
      <c r="AT28" s="27">
        <f t="shared" si="9"/>
        <v>0</v>
      </c>
      <c r="AU28" s="27">
        <f t="shared" si="9"/>
        <v>0</v>
      </c>
      <c r="AV28" s="27">
        <f t="shared" si="9"/>
        <v>0</v>
      </c>
      <c r="AW28" s="27">
        <f t="shared" si="9"/>
        <v>0</v>
      </c>
    </row>
    <row r="29" spans="1:49" ht="15.75" customHeight="1" outlineLevel="1" x14ac:dyDescent="0.2">
      <c r="A29" s="28" t="s">
        <v>21</v>
      </c>
      <c r="B29" s="9">
        <v>0</v>
      </c>
      <c r="C29" s="9">
        <v>0</v>
      </c>
      <c r="D29" s="9">
        <v>0</v>
      </c>
      <c r="E29" s="9">
        <v>0</v>
      </c>
      <c r="F29" s="9">
        <v>0</v>
      </c>
      <c r="G29" s="9">
        <v>0</v>
      </c>
      <c r="H29" s="9">
        <v>0</v>
      </c>
      <c r="I29" s="9">
        <v>0</v>
      </c>
      <c r="J29" s="9">
        <v>0</v>
      </c>
      <c r="K29" s="9">
        <v>0</v>
      </c>
      <c r="L29" s="9">
        <v>0</v>
      </c>
      <c r="M29" s="9">
        <v>0</v>
      </c>
      <c r="N29" s="9">
        <v>0</v>
      </c>
      <c r="O29" s="9">
        <v>0</v>
      </c>
      <c r="P29" s="9">
        <v>0</v>
      </c>
      <c r="Q29" s="9">
        <v>0</v>
      </c>
      <c r="R29" s="9">
        <v>0</v>
      </c>
      <c r="S29" s="9">
        <v>0</v>
      </c>
      <c r="T29" s="9">
        <v>0</v>
      </c>
      <c r="U29" s="9">
        <v>0</v>
      </c>
      <c r="V29" s="9">
        <v>0</v>
      </c>
      <c r="W29" s="9">
        <v>0</v>
      </c>
      <c r="X29" s="9">
        <v>0</v>
      </c>
      <c r="Y29" s="9">
        <v>0</v>
      </c>
      <c r="Z29" s="9">
        <v>0</v>
      </c>
      <c r="AA29" s="29">
        <v>0</v>
      </c>
      <c r="AB29" s="29">
        <v>0</v>
      </c>
      <c r="AC29" s="29">
        <v>0</v>
      </c>
      <c r="AD29" s="29">
        <v>0</v>
      </c>
      <c r="AE29" s="29">
        <v>0</v>
      </c>
      <c r="AF29" s="29">
        <v>0</v>
      </c>
      <c r="AG29" s="29">
        <v>0</v>
      </c>
      <c r="AH29" s="29">
        <v>0</v>
      </c>
      <c r="AI29" s="29">
        <v>0</v>
      </c>
      <c r="AJ29" s="29">
        <v>0</v>
      </c>
      <c r="AK29" s="29">
        <v>0</v>
      </c>
      <c r="AL29" s="29">
        <v>0</v>
      </c>
      <c r="AM29" s="29">
        <v>0</v>
      </c>
      <c r="AN29" s="29">
        <v>0</v>
      </c>
      <c r="AO29" s="29">
        <v>0</v>
      </c>
      <c r="AP29" s="29">
        <v>0</v>
      </c>
      <c r="AQ29" s="29">
        <v>0</v>
      </c>
      <c r="AR29" s="29">
        <v>0</v>
      </c>
      <c r="AS29" s="29">
        <v>0</v>
      </c>
      <c r="AT29" s="29">
        <v>0</v>
      </c>
      <c r="AU29" s="29">
        <v>0</v>
      </c>
      <c r="AV29" s="29">
        <v>0</v>
      </c>
      <c r="AW29" s="29">
        <v>0</v>
      </c>
    </row>
    <row r="30" spans="1:49" ht="15.75" customHeight="1" outlineLevel="2" x14ac:dyDescent="0.2">
      <c r="A30" s="28" t="s">
        <v>22</v>
      </c>
      <c r="B30" s="30">
        <v>0</v>
      </c>
      <c r="C30" s="30">
        <v>0</v>
      </c>
      <c r="D30" s="30">
        <v>0</v>
      </c>
      <c r="E30" s="30">
        <v>0</v>
      </c>
      <c r="F30" s="30">
        <v>0</v>
      </c>
      <c r="G30" s="30">
        <v>0</v>
      </c>
      <c r="H30" s="30">
        <v>0</v>
      </c>
      <c r="I30" s="30">
        <v>0</v>
      </c>
      <c r="J30" s="30">
        <v>0</v>
      </c>
      <c r="K30" s="30">
        <v>0</v>
      </c>
      <c r="L30" s="30">
        <v>0</v>
      </c>
      <c r="M30" s="30">
        <v>0</v>
      </c>
      <c r="N30" s="30">
        <v>0</v>
      </c>
      <c r="O30" s="30">
        <v>0</v>
      </c>
      <c r="P30" s="30">
        <v>0</v>
      </c>
      <c r="Q30" s="30">
        <v>0</v>
      </c>
      <c r="R30" s="30">
        <v>0</v>
      </c>
      <c r="S30" s="30">
        <v>0</v>
      </c>
      <c r="T30" s="30">
        <v>0</v>
      </c>
      <c r="U30" s="30">
        <v>0</v>
      </c>
      <c r="V30" s="30">
        <v>0</v>
      </c>
      <c r="W30" s="30">
        <v>0</v>
      </c>
      <c r="X30" s="30">
        <v>0</v>
      </c>
      <c r="Y30" s="30">
        <v>0</v>
      </c>
      <c r="Z30" s="30">
        <v>0</v>
      </c>
      <c r="AA30" s="31">
        <v>0</v>
      </c>
      <c r="AB30" s="31">
        <v>0</v>
      </c>
      <c r="AC30" s="31">
        <v>0</v>
      </c>
      <c r="AD30" s="31">
        <v>0</v>
      </c>
      <c r="AE30" s="31">
        <v>0</v>
      </c>
      <c r="AF30" s="31">
        <v>0</v>
      </c>
      <c r="AG30" s="31">
        <v>0</v>
      </c>
      <c r="AH30" s="31">
        <v>0</v>
      </c>
      <c r="AI30" s="31">
        <v>0</v>
      </c>
      <c r="AJ30" s="31">
        <v>0</v>
      </c>
      <c r="AK30" s="31">
        <v>0</v>
      </c>
      <c r="AL30" s="31">
        <v>0</v>
      </c>
      <c r="AM30" s="31">
        <v>0</v>
      </c>
      <c r="AN30" s="31">
        <v>0</v>
      </c>
      <c r="AO30" s="31">
        <v>0</v>
      </c>
      <c r="AP30" s="31">
        <v>0</v>
      </c>
      <c r="AQ30" s="31">
        <v>0</v>
      </c>
      <c r="AR30" s="31">
        <v>0</v>
      </c>
      <c r="AS30" s="31">
        <v>0</v>
      </c>
      <c r="AT30" s="31">
        <v>0</v>
      </c>
      <c r="AU30" s="31">
        <v>0</v>
      </c>
      <c r="AV30" s="31">
        <v>0</v>
      </c>
      <c r="AW30" s="31">
        <v>0</v>
      </c>
    </row>
    <row r="31" spans="1:49" ht="15.75" customHeight="1" outlineLevel="2" x14ac:dyDescent="0.2">
      <c r="A31" s="28" t="s">
        <v>23</v>
      </c>
      <c r="B31" s="30">
        <v>0</v>
      </c>
      <c r="C31" s="30">
        <v>0</v>
      </c>
      <c r="D31" s="30">
        <v>0</v>
      </c>
      <c r="E31" s="30">
        <v>0</v>
      </c>
      <c r="F31" s="30">
        <v>0</v>
      </c>
      <c r="G31" s="30">
        <v>0</v>
      </c>
      <c r="H31" s="30">
        <v>0</v>
      </c>
      <c r="I31" s="30">
        <v>0</v>
      </c>
      <c r="J31" s="30">
        <v>0</v>
      </c>
      <c r="K31" s="30">
        <v>0</v>
      </c>
      <c r="L31" s="30">
        <v>0</v>
      </c>
      <c r="M31" s="30">
        <v>0</v>
      </c>
      <c r="N31" s="30">
        <v>0</v>
      </c>
      <c r="O31" s="30">
        <v>0</v>
      </c>
      <c r="P31" s="30">
        <v>0</v>
      </c>
      <c r="Q31" s="30">
        <v>0</v>
      </c>
      <c r="R31" s="30">
        <v>0</v>
      </c>
      <c r="S31" s="30">
        <v>0</v>
      </c>
      <c r="T31" s="30">
        <v>0</v>
      </c>
      <c r="U31" s="30">
        <v>0</v>
      </c>
      <c r="V31" s="30">
        <v>0</v>
      </c>
      <c r="W31" s="30">
        <v>0</v>
      </c>
      <c r="X31" s="30">
        <v>0</v>
      </c>
      <c r="Y31" s="30">
        <v>0</v>
      </c>
      <c r="Z31" s="30">
        <v>0</v>
      </c>
      <c r="AA31" s="31">
        <v>0</v>
      </c>
      <c r="AB31" s="31">
        <v>0</v>
      </c>
      <c r="AC31" s="31">
        <v>0</v>
      </c>
      <c r="AD31" s="31">
        <v>0</v>
      </c>
      <c r="AE31" s="31">
        <v>0</v>
      </c>
      <c r="AF31" s="31">
        <v>0</v>
      </c>
      <c r="AG31" s="31">
        <v>0</v>
      </c>
      <c r="AH31" s="31">
        <v>0</v>
      </c>
      <c r="AI31" s="31">
        <v>0</v>
      </c>
      <c r="AJ31" s="31">
        <v>0</v>
      </c>
      <c r="AK31" s="31">
        <v>0</v>
      </c>
      <c r="AL31" s="31">
        <v>0</v>
      </c>
      <c r="AM31" s="31">
        <v>0</v>
      </c>
      <c r="AN31" s="31">
        <v>0</v>
      </c>
      <c r="AO31" s="31">
        <v>0</v>
      </c>
      <c r="AP31" s="31">
        <v>0</v>
      </c>
      <c r="AQ31" s="31">
        <v>0</v>
      </c>
      <c r="AR31" s="31">
        <v>0</v>
      </c>
      <c r="AS31" s="31">
        <v>0</v>
      </c>
      <c r="AT31" s="31">
        <v>0</v>
      </c>
      <c r="AU31" s="31">
        <v>0</v>
      </c>
      <c r="AV31" s="31">
        <v>0</v>
      </c>
      <c r="AW31" s="31">
        <v>0</v>
      </c>
    </row>
    <row r="32" spans="1:49" ht="15.75" customHeight="1" outlineLevel="2" x14ac:dyDescent="0.2">
      <c r="A32" s="28" t="s">
        <v>24</v>
      </c>
      <c r="B32" s="30">
        <v>0</v>
      </c>
      <c r="C32" s="30">
        <v>0</v>
      </c>
      <c r="D32" s="30">
        <v>0</v>
      </c>
      <c r="E32" s="30">
        <v>0</v>
      </c>
      <c r="F32" s="30">
        <v>0</v>
      </c>
      <c r="G32" s="30">
        <v>0</v>
      </c>
      <c r="H32" s="30">
        <v>0</v>
      </c>
      <c r="I32" s="30">
        <v>0</v>
      </c>
      <c r="J32" s="30">
        <v>0</v>
      </c>
      <c r="K32" s="30">
        <v>0</v>
      </c>
      <c r="L32" s="30">
        <v>0</v>
      </c>
      <c r="M32" s="30">
        <v>0</v>
      </c>
      <c r="N32" s="30">
        <v>0</v>
      </c>
      <c r="O32" s="30">
        <v>0</v>
      </c>
      <c r="P32" s="30">
        <v>0</v>
      </c>
      <c r="Q32" s="30">
        <v>0</v>
      </c>
      <c r="R32" s="30">
        <v>0</v>
      </c>
      <c r="S32" s="30">
        <v>0</v>
      </c>
      <c r="T32" s="30">
        <v>0</v>
      </c>
      <c r="U32" s="30">
        <v>0</v>
      </c>
      <c r="V32" s="30">
        <v>0</v>
      </c>
      <c r="W32" s="30">
        <v>0</v>
      </c>
      <c r="X32" s="30">
        <v>0</v>
      </c>
      <c r="Y32" s="30">
        <v>0</v>
      </c>
      <c r="Z32" s="30">
        <v>0</v>
      </c>
      <c r="AA32" s="31">
        <v>0</v>
      </c>
      <c r="AB32" s="31">
        <v>0</v>
      </c>
      <c r="AC32" s="31">
        <v>0</v>
      </c>
      <c r="AD32" s="31">
        <v>0</v>
      </c>
      <c r="AE32" s="31">
        <v>0</v>
      </c>
      <c r="AF32" s="31">
        <v>0</v>
      </c>
      <c r="AG32" s="31">
        <v>0</v>
      </c>
      <c r="AH32" s="31">
        <v>0</v>
      </c>
      <c r="AI32" s="31">
        <v>0</v>
      </c>
      <c r="AJ32" s="31">
        <v>0</v>
      </c>
      <c r="AK32" s="31">
        <v>0</v>
      </c>
      <c r="AL32" s="31">
        <v>0</v>
      </c>
      <c r="AM32" s="31">
        <v>0</v>
      </c>
      <c r="AN32" s="31">
        <v>0</v>
      </c>
      <c r="AO32" s="31">
        <v>0</v>
      </c>
      <c r="AP32" s="31">
        <v>0</v>
      </c>
      <c r="AQ32" s="31">
        <v>0</v>
      </c>
      <c r="AR32" s="31">
        <v>0</v>
      </c>
      <c r="AS32" s="31">
        <v>0</v>
      </c>
      <c r="AT32" s="31">
        <v>0</v>
      </c>
      <c r="AU32" s="31">
        <v>0</v>
      </c>
      <c r="AV32" s="31">
        <v>0</v>
      </c>
      <c r="AW32" s="31">
        <v>0</v>
      </c>
    </row>
    <row r="33" spans="1:50" ht="15.75" customHeight="1" outlineLevel="1" x14ac:dyDescent="0.2">
      <c r="A33" s="14" t="s">
        <v>26</v>
      </c>
      <c r="B33" s="26">
        <f t="shared" ref="B33:AW33" si="10">B35+B36</f>
        <v>0</v>
      </c>
      <c r="C33" s="26">
        <f t="shared" si="10"/>
        <v>0</v>
      </c>
      <c r="D33" s="26">
        <f t="shared" si="10"/>
        <v>0</v>
      </c>
      <c r="E33" s="26">
        <f t="shared" si="10"/>
        <v>0</v>
      </c>
      <c r="F33" s="26">
        <f t="shared" si="10"/>
        <v>0</v>
      </c>
      <c r="G33" s="26">
        <f t="shared" si="10"/>
        <v>0</v>
      </c>
      <c r="H33" s="26">
        <f t="shared" si="10"/>
        <v>0</v>
      </c>
      <c r="I33" s="26">
        <f t="shared" si="10"/>
        <v>0</v>
      </c>
      <c r="J33" s="26">
        <f t="shared" si="10"/>
        <v>0</v>
      </c>
      <c r="K33" s="26">
        <f t="shared" si="10"/>
        <v>0</v>
      </c>
      <c r="L33" s="26">
        <f t="shared" si="10"/>
        <v>0</v>
      </c>
      <c r="M33" s="26">
        <f t="shared" si="10"/>
        <v>0</v>
      </c>
      <c r="N33" s="26">
        <f t="shared" si="10"/>
        <v>0</v>
      </c>
      <c r="O33" s="26">
        <f t="shared" si="10"/>
        <v>0</v>
      </c>
      <c r="P33" s="26">
        <f t="shared" si="10"/>
        <v>0</v>
      </c>
      <c r="Q33" s="26">
        <f t="shared" si="10"/>
        <v>0</v>
      </c>
      <c r="R33" s="26">
        <f t="shared" si="10"/>
        <v>0</v>
      </c>
      <c r="S33" s="26">
        <f t="shared" si="10"/>
        <v>0</v>
      </c>
      <c r="T33" s="26">
        <f t="shared" si="10"/>
        <v>0</v>
      </c>
      <c r="U33" s="26">
        <f t="shared" si="10"/>
        <v>0</v>
      </c>
      <c r="V33" s="26">
        <f t="shared" si="10"/>
        <v>0</v>
      </c>
      <c r="W33" s="26">
        <f t="shared" si="10"/>
        <v>0</v>
      </c>
      <c r="X33" s="26">
        <f t="shared" si="10"/>
        <v>0</v>
      </c>
      <c r="Y33" s="26">
        <f t="shared" si="10"/>
        <v>0</v>
      </c>
      <c r="Z33" s="26">
        <f t="shared" si="10"/>
        <v>0</v>
      </c>
      <c r="AA33" s="27">
        <f t="shared" si="10"/>
        <v>0</v>
      </c>
      <c r="AB33" s="27">
        <f t="shared" si="10"/>
        <v>0</v>
      </c>
      <c r="AC33" s="27">
        <f t="shared" si="10"/>
        <v>0</v>
      </c>
      <c r="AD33" s="27">
        <f t="shared" si="10"/>
        <v>0</v>
      </c>
      <c r="AE33" s="27">
        <f t="shared" si="10"/>
        <v>0</v>
      </c>
      <c r="AF33" s="27">
        <f t="shared" si="10"/>
        <v>0</v>
      </c>
      <c r="AG33" s="27">
        <f t="shared" si="10"/>
        <v>0</v>
      </c>
      <c r="AH33" s="27">
        <f t="shared" si="10"/>
        <v>0</v>
      </c>
      <c r="AI33" s="27">
        <f t="shared" si="10"/>
        <v>0</v>
      </c>
      <c r="AJ33" s="27">
        <f t="shared" si="10"/>
        <v>0</v>
      </c>
      <c r="AK33" s="27">
        <f t="shared" si="10"/>
        <v>0</v>
      </c>
      <c r="AL33" s="27">
        <f t="shared" si="10"/>
        <v>0</v>
      </c>
      <c r="AM33" s="27">
        <f t="shared" si="10"/>
        <v>0</v>
      </c>
      <c r="AN33" s="27">
        <f t="shared" si="10"/>
        <v>0</v>
      </c>
      <c r="AO33" s="27">
        <f t="shared" si="10"/>
        <v>0</v>
      </c>
      <c r="AP33" s="27">
        <f t="shared" si="10"/>
        <v>0</v>
      </c>
      <c r="AQ33" s="27">
        <f t="shared" si="10"/>
        <v>0</v>
      </c>
      <c r="AR33" s="27">
        <f t="shared" si="10"/>
        <v>0</v>
      </c>
      <c r="AS33" s="27">
        <f t="shared" si="10"/>
        <v>0</v>
      </c>
      <c r="AT33" s="27">
        <f t="shared" si="10"/>
        <v>0</v>
      </c>
      <c r="AU33" s="27">
        <f t="shared" si="10"/>
        <v>0</v>
      </c>
      <c r="AV33" s="27">
        <f t="shared" si="10"/>
        <v>0</v>
      </c>
      <c r="AW33" s="27">
        <f t="shared" si="10"/>
        <v>0</v>
      </c>
    </row>
    <row r="34" spans="1:50" ht="15.75" customHeight="1" outlineLevel="1" x14ac:dyDescent="0.2">
      <c r="A34" s="28" t="s">
        <v>21</v>
      </c>
      <c r="B34" s="9">
        <v>0</v>
      </c>
      <c r="C34" s="9">
        <v>0</v>
      </c>
      <c r="D34" s="9">
        <v>0</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0</v>
      </c>
      <c r="W34" s="9">
        <v>0</v>
      </c>
      <c r="X34" s="9">
        <v>0</v>
      </c>
      <c r="Y34" s="9">
        <v>0</v>
      </c>
      <c r="Z34" s="9">
        <v>0</v>
      </c>
      <c r="AA34" s="29">
        <v>0</v>
      </c>
      <c r="AB34" s="29">
        <v>0</v>
      </c>
      <c r="AC34" s="29">
        <v>0</v>
      </c>
      <c r="AD34" s="29">
        <v>0</v>
      </c>
      <c r="AE34" s="29">
        <v>0</v>
      </c>
      <c r="AF34" s="29">
        <v>0</v>
      </c>
      <c r="AG34" s="29">
        <v>0</v>
      </c>
      <c r="AH34" s="29">
        <v>0</v>
      </c>
      <c r="AI34" s="29">
        <v>0</v>
      </c>
      <c r="AJ34" s="29">
        <v>0</v>
      </c>
      <c r="AK34" s="29">
        <v>0</v>
      </c>
      <c r="AL34" s="29">
        <v>0</v>
      </c>
      <c r="AM34" s="29">
        <v>0</v>
      </c>
      <c r="AN34" s="29">
        <v>0</v>
      </c>
      <c r="AO34" s="29">
        <v>0</v>
      </c>
      <c r="AP34" s="29">
        <v>0</v>
      </c>
      <c r="AQ34" s="29">
        <v>0</v>
      </c>
      <c r="AR34" s="29">
        <v>0</v>
      </c>
      <c r="AS34" s="29">
        <v>0</v>
      </c>
      <c r="AT34" s="29">
        <v>0</v>
      </c>
      <c r="AU34" s="29">
        <v>0</v>
      </c>
      <c r="AV34" s="29">
        <v>0</v>
      </c>
      <c r="AW34" s="29">
        <v>0</v>
      </c>
    </row>
    <row r="35" spans="1:50" ht="15.75" customHeight="1" outlineLevel="2" x14ac:dyDescent="0.2">
      <c r="A35" s="28" t="s">
        <v>22</v>
      </c>
      <c r="B35" s="30">
        <v>0</v>
      </c>
      <c r="C35" s="30">
        <v>0</v>
      </c>
      <c r="D35" s="30">
        <v>0</v>
      </c>
      <c r="E35" s="30">
        <v>0</v>
      </c>
      <c r="F35" s="30">
        <v>0</v>
      </c>
      <c r="G35" s="30">
        <v>0</v>
      </c>
      <c r="H35" s="30">
        <v>0</v>
      </c>
      <c r="I35" s="30">
        <v>0</v>
      </c>
      <c r="J35" s="30">
        <v>0</v>
      </c>
      <c r="K35" s="30">
        <v>0</v>
      </c>
      <c r="L35" s="30">
        <v>0</v>
      </c>
      <c r="M35" s="30">
        <v>0</v>
      </c>
      <c r="N35" s="30">
        <v>0</v>
      </c>
      <c r="O35" s="30">
        <v>0</v>
      </c>
      <c r="P35" s="30">
        <v>0</v>
      </c>
      <c r="Q35" s="30">
        <v>0</v>
      </c>
      <c r="R35" s="30">
        <v>0</v>
      </c>
      <c r="S35" s="30">
        <v>0</v>
      </c>
      <c r="T35" s="30">
        <v>0</v>
      </c>
      <c r="U35" s="30">
        <v>0</v>
      </c>
      <c r="V35" s="30">
        <v>0</v>
      </c>
      <c r="W35" s="30">
        <v>0</v>
      </c>
      <c r="X35" s="30">
        <v>0</v>
      </c>
      <c r="Y35" s="30">
        <v>0</v>
      </c>
      <c r="Z35" s="30">
        <v>0</v>
      </c>
      <c r="AA35" s="31">
        <v>0</v>
      </c>
      <c r="AB35" s="31">
        <v>0</v>
      </c>
      <c r="AC35" s="31">
        <v>0</v>
      </c>
      <c r="AD35" s="31">
        <v>0</v>
      </c>
      <c r="AE35" s="31">
        <v>0</v>
      </c>
      <c r="AF35" s="31">
        <v>0</v>
      </c>
      <c r="AG35" s="31">
        <v>0</v>
      </c>
      <c r="AH35" s="31">
        <v>0</v>
      </c>
      <c r="AI35" s="31">
        <v>0</v>
      </c>
      <c r="AJ35" s="31">
        <v>0</v>
      </c>
      <c r="AK35" s="31">
        <v>0</v>
      </c>
      <c r="AL35" s="31">
        <v>0</v>
      </c>
      <c r="AM35" s="31">
        <v>0</v>
      </c>
      <c r="AN35" s="31">
        <v>0</v>
      </c>
      <c r="AO35" s="31">
        <v>0</v>
      </c>
      <c r="AP35" s="31">
        <v>0</v>
      </c>
      <c r="AQ35" s="31">
        <v>0</v>
      </c>
      <c r="AR35" s="31">
        <v>0</v>
      </c>
      <c r="AS35" s="31">
        <v>0</v>
      </c>
      <c r="AT35" s="31">
        <v>0</v>
      </c>
      <c r="AU35" s="31">
        <v>0</v>
      </c>
      <c r="AV35" s="31">
        <v>0</v>
      </c>
      <c r="AW35" s="31">
        <v>0</v>
      </c>
    </row>
    <row r="36" spans="1:50" ht="15.75" customHeight="1" outlineLevel="2" x14ac:dyDescent="0.2">
      <c r="A36" s="28" t="s">
        <v>23</v>
      </c>
      <c r="B36" s="30">
        <v>0</v>
      </c>
      <c r="C36" s="30">
        <v>0</v>
      </c>
      <c r="D36" s="30">
        <v>0</v>
      </c>
      <c r="E36" s="30">
        <v>0</v>
      </c>
      <c r="F36" s="30">
        <v>0</v>
      </c>
      <c r="G36" s="30">
        <v>0</v>
      </c>
      <c r="H36" s="30">
        <v>0</v>
      </c>
      <c r="I36" s="30">
        <v>0</v>
      </c>
      <c r="J36" s="30">
        <v>0</v>
      </c>
      <c r="K36" s="30">
        <v>0</v>
      </c>
      <c r="L36" s="30">
        <v>0</v>
      </c>
      <c r="M36" s="30">
        <v>0</v>
      </c>
      <c r="N36" s="30">
        <v>0</v>
      </c>
      <c r="O36" s="30">
        <v>0</v>
      </c>
      <c r="P36" s="30">
        <v>0</v>
      </c>
      <c r="Q36" s="30">
        <v>0</v>
      </c>
      <c r="R36" s="30">
        <v>0</v>
      </c>
      <c r="S36" s="30">
        <v>0</v>
      </c>
      <c r="T36" s="30">
        <v>0</v>
      </c>
      <c r="U36" s="30">
        <v>0</v>
      </c>
      <c r="V36" s="30">
        <v>0</v>
      </c>
      <c r="W36" s="30">
        <v>0</v>
      </c>
      <c r="X36" s="30">
        <v>0</v>
      </c>
      <c r="Y36" s="30">
        <v>0</v>
      </c>
      <c r="Z36" s="30">
        <v>0</v>
      </c>
      <c r="AA36" s="31">
        <v>0</v>
      </c>
      <c r="AB36" s="31">
        <v>0</v>
      </c>
      <c r="AC36" s="31">
        <v>0</v>
      </c>
      <c r="AD36" s="31">
        <v>0</v>
      </c>
      <c r="AE36" s="31">
        <v>0</v>
      </c>
      <c r="AF36" s="31">
        <v>0</v>
      </c>
      <c r="AG36" s="31">
        <v>0</v>
      </c>
      <c r="AH36" s="31">
        <v>0</v>
      </c>
      <c r="AI36" s="31">
        <v>0</v>
      </c>
      <c r="AJ36" s="31">
        <v>0</v>
      </c>
      <c r="AK36" s="31">
        <v>0</v>
      </c>
      <c r="AL36" s="31">
        <v>0</v>
      </c>
      <c r="AM36" s="31">
        <v>0</v>
      </c>
      <c r="AN36" s="31">
        <v>0</v>
      </c>
      <c r="AO36" s="31">
        <v>0</v>
      </c>
      <c r="AP36" s="31">
        <v>0</v>
      </c>
      <c r="AQ36" s="31">
        <v>0</v>
      </c>
      <c r="AR36" s="31">
        <v>0</v>
      </c>
      <c r="AS36" s="31">
        <v>0</v>
      </c>
      <c r="AT36" s="31">
        <v>0</v>
      </c>
      <c r="AU36" s="31">
        <v>0</v>
      </c>
      <c r="AV36" s="31">
        <v>0</v>
      </c>
      <c r="AW36" s="31">
        <v>0</v>
      </c>
    </row>
    <row r="37" spans="1:50" ht="15.75" customHeight="1" outlineLevel="2" x14ac:dyDescent="0.2">
      <c r="A37" s="28" t="s">
        <v>24</v>
      </c>
      <c r="B37" s="30">
        <v>0</v>
      </c>
      <c r="C37" s="30">
        <v>0</v>
      </c>
      <c r="D37" s="30">
        <v>0</v>
      </c>
      <c r="E37" s="30">
        <v>0</v>
      </c>
      <c r="F37" s="30">
        <v>0</v>
      </c>
      <c r="G37" s="30">
        <v>0</v>
      </c>
      <c r="H37" s="30">
        <v>0</v>
      </c>
      <c r="I37" s="30">
        <v>0</v>
      </c>
      <c r="J37" s="30">
        <v>0</v>
      </c>
      <c r="K37" s="30">
        <v>0</v>
      </c>
      <c r="L37" s="30">
        <v>0</v>
      </c>
      <c r="M37" s="30">
        <v>0</v>
      </c>
      <c r="N37" s="30">
        <v>0</v>
      </c>
      <c r="O37" s="30">
        <v>0</v>
      </c>
      <c r="P37" s="30">
        <v>0</v>
      </c>
      <c r="Q37" s="30">
        <v>0</v>
      </c>
      <c r="R37" s="30">
        <v>0</v>
      </c>
      <c r="S37" s="30">
        <v>0</v>
      </c>
      <c r="T37" s="30">
        <v>0</v>
      </c>
      <c r="U37" s="30">
        <v>0</v>
      </c>
      <c r="V37" s="30">
        <v>0</v>
      </c>
      <c r="W37" s="30">
        <v>0</v>
      </c>
      <c r="X37" s="30">
        <v>0</v>
      </c>
      <c r="Y37" s="30">
        <v>0</v>
      </c>
      <c r="Z37" s="30">
        <v>0</v>
      </c>
      <c r="AA37" s="31">
        <v>0</v>
      </c>
      <c r="AB37" s="31">
        <v>0</v>
      </c>
      <c r="AC37" s="31">
        <v>0</v>
      </c>
      <c r="AD37" s="31">
        <v>0</v>
      </c>
      <c r="AE37" s="31">
        <v>0</v>
      </c>
      <c r="AF37" s="31">
        <v>0</v>
      </c>
      <c r="AG37" s="31">
        <v>0</v>
      </c>
      <c r="AH37" s="31">
        <v>0</v>
      </c>
      <c r="AI37" s="31">
        <v>0</v>
      </c>
      <c r="AJ37" s="31">
        <v>0</v>
      </c>
      <c r="AK37" s="31">
        <v>0</v>
      </c>
      <c r="AL37" s="31">
        <v>0</v>
      </c>
      <c r="AM37" s="31">
        <v>0</v>
      </c>
      <c r="AN37" s="31">
        <v>0</v>
      </c>
      <c r="AO37" s="31">
        <v>0</v>
      </c>
      <c r="AP37" s="31">
        <v>0</v>
      </c>
      <c r="AQ37" s="31">
        <v>0</v>
      </c>
      <c r="AR37" s="31">
        <v>0</v>
      </c>
      <c r="AS37" s="31">
        <v>0</v>
      </c>
      <c r="AT37" s="31">
        <v>0</v>
      </c>
      <c r="AU37" s="31">
        <v>0</v>
      </c>
      <c r="AV37" s="31">
        <v>0</v>
      </c>
      <c r="AW37" s="31">
        <v>0</v>
      </c>
    </row>
    <row r="38" spans="1:50" ht="15.75" customHeight="1" outlineLevel="1" x14ac:dyDescent="0.2">
      <c r="A38" s="8" t="s">
        <v>27</v>
      </c>
      <c r="B38" s="12">
        <v>0</v>
      </c>
      <c r="C38" s="12">
        <v>0</v>
      </c>
      <c r="D38" s="12">
        <v>0</v>
      </c>
      <c r="E38" s="12">
        <v>0</v>
      </c>
      <c r="F38" s="12">
        <v>0</v>
      </c>
      <c r="G38" s="12">
        <v>0</v>
      </c>
      <c r="H38" s="12">
        <v>0</v>
      </c>
      <c r="I38" s="12">
        <v>0</v>
      </c>
      <c r="J38" s="12">
        <v>0</v>
      </c>
      <c r="K38" s="12">
        <v>0</v>
      </c>
      <c r="L38" s="12">
        <v>0</v>
      </c>
      <c r="M38" s="12">
        <v>0</v>
      </c>
      <c r="N38" s="12">
        <v>0</v>
      </c>
      <c r="O38" s="12">
        <v>0</v>
      </c>
      <c r="P38" s="12">
        <v>0</v>
      </c>
      <c r="Q38" s="12">
        <v>0</v>
      </c>
      <c r="R38" s="12">
        <v>0</v>
      </c>
      <c r="S38" s="12">
        <v>0</v>
      </c>
      <c r="T38" s="12">
        <v>0</v>
      </c>
      <c r="U38" s="12">
        <v>0</v>
      </c>
      <c r="V38" s="12">
        <v>0</v>
      </c>
      <c r="W38" s="12">
        <v>0</v>
      </c>
      <c r="X38" s="12">
        <v>0</v>
      </c>
      <c r="Y38" s="12">
        <v>0</v>
      </c>
      <c r="Z38" s="12">
        <v>0</v>
      </c>
      <c r="AA38" s="13">
        <v>0</v>
      </c>
      <c r="AB38" s="13">
        <v>0</v>
      </c>
      <c r="AC38" s="13">
        <v>0</v>
      </c>
      <c r="AD38" s="13">
        <v>0</v>
      </c>
      <c r="AE38" s="13">
        <v>0</v>
      </c>
      <c r="AF38" s="13">
        <v>0</v>
      </c>
      <c r="AG38" s="13">
        <v>0</v>
      </c>
      <c r="AH38" s="13">
        <v>0</v>
      </c>
      <c r="AI38" s="13">
        <v>0</v>
      </c>
      <c r="AJ38" s="13">
        <v>0</v>
      </c>
      <c r="AK38" s="13">
        <v>0</v>
      </c>
      <c r="AL38" s="13">
        <v>0</v>
      </c>
      <c r="AM38" s="13">
        <v>0</v>
      </c>
      <c r="AN38" s="13">
        <v>0</v>
      </c>
      <c r="AO38" s="13">
        <v>0</v>
      </c>
      <c r="AP38" s="13">
        <v>0</v>
      </c>
      <c r="AQ38" s="13">
        <v>0</v>
      </c>
      <c r="AR38" s="13">
        <v>0</v>
      </c>
      <c r="AS38" s="13">
        <v>0</v>
      </c>
      <c r="AT38" s="13">
        <v>0</v>
      </c>
      <c r="AU38" s="13">
        <v>0</v>
      </c>
      <c r="AV38" s="13">
        <v>0</v>
      </c>
      <c r="AW38" s="13">
        <v>0</v>
      </c>
    </row>
    <row r="39" spans="1:50" ht="15.75" customHeight="1" x14ac:dyDescent="0.2">
      <c r="A39" s="14" t="s">
        <v>28</v>
      </c>
      <c r="B39" s="15">
        <f t="shared" ref="B39:AW39" si="11">B19-B22</f>
        <v>0</v>
      </c>
      <c r="C39" s="15">
        <f t="shared" si="11"/>
        <v>0</v>
      </c>
      <c r="D39" s="15">
        <f t="shared" si="11"/>
        <v>0</v>
      </c>
      <c r="E39" s="15">
        <f t="shared" si="11"/>
        <v>0</v>
      </c>
      <c r="F39" s="15">
        <f t="shared" si="11"/>
        <v>0</v>
      </c>
      <c r="G39" s="15">
        <f t="shared" si="11"/>
        <v>0</v>
      </c>
      <c r="H39" s="15">
        <f t="shared" si="11"/>
        <v>0</v>
      </c>
      <c r="I39" s="15">
        <f t="shared" si="11"/>
        <v>0</v>
      </c>
      <c r="J39" s="15">
        <f t="shared" si="11"/>
        <v>0</v>
      </c>
      <c r="K39" s="15">
        <f t="shared" si="11"/>
        <v>0</v>
      </c>
      <c r="L39" s="15">
        <f t="shared" si="11"/>
        <v>0</v>
      </c>
      <c r="M39" s="15">
        <f t="shared" si="11"/>
        <v>0</v>
      </c>
      <c r="N39" s="15">
        <f t="shared" si="11"/>
        <v>0</v>
      </c>
      <c r="O39" s="15">
        <f t="shared" si="11"/>
        <v>0</v>
      </c>
      <c r="P39" s="15">
        <f t="shared" si="11"/>
        <v>0</v>
      </c>
      <c r="Q39" s="15">
        <f t="shared" si="11"/>
        <v>0</v>
      </c>
      <c r="R39" s="15">
        <f t="shared" si="11"/>
        <v>0</v>
      </c>
      <c r="S39" s="15">
        <f t="shared" si="11"/>
        <v>0</v>
      </c>
      <c r="T39" s="15">
        <f t="shared" si="11"/>
        <v>0</v>
      </c>
      <c r="U39" s="15">
        <f t="shared" si="11"/>
        <v>0</v>
      </c>
      <c r="V39" s="15">
        <f t="shared" si="11"/>
        <v>0</v>
      </c>
      <c r="W39" s="15">
        <f t="shared" si="11"/>
        <v>0</v>
      </c>
      <c r="X39" s="15">
        <f t="shared" si="11"/>
        <v>0</v>
      </c>
      <c r="Y39" s="15">
        <f t="shared" si="11"/>
        <v>0</v>
      </c>
      <c r="Z39" s="15">
        <f t="shared" si="11"/>
        <v>0</v>
      </c>
      <c r="AA39" s="16">
        <f t="shared" si="11"/>
        <v>0</v>
      </c>
      <c r="AB39" s="16">
        <f t="shared" si="11"/>
        <v>0</v>
      </c>
      <c r="AC39" s="16">
        <f t="shared" si="11"/>
        <v>0</v>
      </c>
      <c r="AD39" s="16">
        <f t="shared" si="11"/>
        <v>0</v>
      </c>
      <c r="AE39" s="16">
        <f t="shared" si="11"/>
        <v>0</v>
      </c>
      <c r="AF39" s="16">
        <f t="shared" si="11"/>
        <v>0</v>
      </c>
      <c r="AG39" s="16">
        <f t="shared" si="11"/>
        <v>0</v>
      </c>
      <c r="AH39" s="16">
        <f t="shared" si="11"/>
        <v>0</v>
      </c>
      <c r="AI39" s="16">
        <f t="shared" si="11"/>
        <v>0</v>
      </c>
      <c r="AJ39" s="16">
        <f t="shared" si="11"/>
        <v>0</v>
      </c>
      <c r="AK39" s="16">
        <f t="shared" si="11"/>
        <v>0</v>
      </c>
      <c r="AL39" s="16">
        <f t="shared" si="11"/>
        <v>0</v>
      </c>
      <c r="AM39" s="16">
        <f t="shared" si="11"/>
        <v>0</v>
      </c>
      <c r="AN39" s="16">
        <f t="shared" si="11"/>
        <v>0</v>
      </c>
      <c r="AO39" s="16">
        <f t="shared" si="11"/>
        <v>0</v>
      </c>
      <c r="AP39" s="16">
        <f t="shared" si="11"/>
        <v>0</v>
      </c>
      <c r="AQ39" s="16">
        <f t="shared" si="11"/>
        <v>0</v>
      </c>
      <c r="AR39" s="16">
        <f t="shared" si="11"/>
        <v>0</v>
      </c>
      <c r="AS39" s="16">
        <f t="shared" si="11"/>
        <v>0</v>
      </c>
      <c r="AT39" s="16">
        <f t="shared" si="11"/>
        <v>0</v>
      </c>
      <c r="AU39" s="16">
        <f t="shared" si="11"/>
        <v>0</v>
      </c>
      <c r="AV39" s="16">
        <f t="shared" si="11"/>
        <v>0</v>
      </c>
      <c r="AW39" s="16">
        <f t="shared" si="11"/>
        <v>0</v>
      </c>
    </row>
    <row r="40" spans="1:50" ht="15.75" customHeight="1" x14ac:dyDescent="0.2">
      <c r="A40" s="17" t="s">
        <v>29</v>
      </c>
      <c r="B40" s="11">
        <f t="shared" ref="B40:AW40" si="12">IFERROR(B39/B12,0)</f>
        <v>0</v>
      </c>
      <c r="C40" s="11">
        <f t="shared" si="12"/>
        <v>0</v>
      </c>
      <c r="D40" s="11">
        <f t="shared" si="12"/>
        <v>0</v>
      </c>
      <c r="E40" s="11">
        <f t="shared" si="12"/>
        <v>0</v>
      </c>
      <c r="F40" s="11">
        <f t="shared" si="12"/>
        <v>0</v>
      </c>
      <c r="G40" s="11">
        <f t="shared" si="12"/>
        <v>0</v>
      </c>
      <c r="H40" s="11">
        <f t="shared" si="12"/>
        <v>0</v>
      </c>
      <c r="I40" s="11">
        <f t="shared" si="12"/>
        <v>0</v>
      </c>
      <c r="J40" s="11">
        <f t="shared" si="12"/>
        <v>0</v>
      </c>
      <c r="K40" s="11">
        <f t="shared" si="12"/>
        <v>0</v>
      </c>
      <c r="L40" s="11">
        <f t="shared" si="12"/>
        <v>0</v>
      </c>
      <c r="M40" s="11">
        <f t="shared" si="12"/>
        <v>0</v>
      </c>
      <c r="N40" s="11">
        <f t="shared" si="12"/>
        <v>0</v>
      </c>
      <c r="O40" s="11">
        <f t="shared" si="12"/>
        <v>0</v>
      </c>
      <c r="P40" s="11">
        <f t="shared" si="12"/>
        <v>0</v>
      </c>
      <c r="Q40" s="11">
        <f t="shared" si="12"/>
        <v>0</v>
      </c>
      <c r="R40" s="11">
        <f t="shared" si="12"/>
        <v>0</v>
      </c>
      <c r="S40" s="11">
        <f t="shared" si="12"/>
        <v>0</v>
      </c>
      <c r="T40" s="11">
        <f t="shared" si="12"/>
        <v>0</v>
      </c>
      <c r="U40" s="11">
        <f t="shared" si="12"/>
        <v>0</v>
      </c>
      <c r="V40" s="11">
        <f t="shared" si="12"/>
        <v>0</v>
      </c>
      <c r="W40" s="11">
        <f t="shared" si="12"/>
        <v>0</v>
      </c>
      <c r="X40" s="11">
        <f t="shared" si="12"/>
        <v>0</v>
      </c>
      <c r="Y40" s="11">
        <f t="shared" si="12"/>
        <v>0</v>
      </c>
      <c r="Z40" s="11">
        <f t="shared" si="12"/>
        <v>0</v>
      </c>
      <c r="AA40" s="11">
        <f t="shared" si="12"/>
        <v>0</v>
      </c>
      <c r="AB40" s="11">
        <f t="shared" si="12"/>
        <v>0</v>
      </c>
      <c r="AC40" s="11">
        <f t="shared" si="12"/>
        <v>0</v>
      </c>
      <c r="AD40" s="11">
        <f t="shared" si="12"/>
        <v>0</v>
      </c>
      <c r="AE40" s="11">
        <f t="shared" si="12"/>
        <v>0</v>
      </c>
      <c r="AF40" s="11">
        <f t="shared" si="12"/>
        <v>0</v>
      </c>
      <c r="AG40" s="11">
        <f t="shared" si="12"/>
        <v>0</v>
      </c>
      <c r="AH40" s="11">
        <f t="shared" si="12"/>
        <v>0</v>
      </c>
      <c r="AI40" s="11">
        <f t="shared" si="12"/>
        <v>0</v>
      </c>
      <c r="AJ40" s="11">
        <f t="shared" si="12"/>
        <v>0</v>
      </c>
      <c r="AK40" s="11">
        <f t="shared" si="12"/>
        <v>0</v>
      </c>
      <c r="AL40" s="11">
        <f t="shared" si="12"/>
        <v>0</v>
      </c>
      <c r="AM40" s="11">
        <f t="shared" si="12"/>
        <v>0</v>
      </c>
      <c r="AN40" s="11">
        <f t="shared" si="12"/>
        <v>0</v>
      </c>
      <c r="AO40" s="11">
        <f t="shared" si="12"/>
        <v>0</v>
      </c>
      <c r="AP40" s="11">
        <f t="shared" si="12"/>
        <v>0</v>
      </c>
      <c r="AQ40" s="11">
        <f t="shared" si="12"/>
        <v>0</v>
      </c>
      <c r="AR40" s="11">
        <f t="shared" si="12"/>
        <v>0</v>
      </c>
      <c r="AS40" s="11">
        <f t="shared" si="12"/>
        <v>0</v>
      </c>
      <c r="AT40" s="11">
        <f t="shared" si="12"/>
        <v>0</v>
      </c>
      <c r="AU40" s="11">
        <f t="shared" si="12"/>
        <v>0</v>
      </c>
      <c r="AV40" s="11">
        <f t="shared" si="12"/>
        <v>0</v>
      </c>
      <c r="AW40" s="11">
        <f t="shared" si="12"/>
        <v>0</v>
      </c>
    </row>
    <row r="41" spans="1:50" ht="15.75" customHeight="1" x14ac:dyDescent="0.2">
      <c r="A41" s="19"/>
      <c r="B41" s="32"/>
      <c r="C41" s="33"/>
      <c r="D41" s="33"/>
      <c r="E41" s="33"/>
      <c r="F41" s="33"/>
      <c r="G41" s="33"/>
      <c r="H41" s="33"/>
      <c r="I41" s="33"/>
      <c r="J41" s="33"/>
      <c r="K41" s="33"/>
      <c r="L41" s="33"/>
      <c r="M41" s="33"/>
      <c r="N41" s="33"/>
      <c r="O41" s="33"/>
      <c r="P41" s="33"/>
      <c r="Q41" s="33"/>
      <c r="R41" s="33"/>
      <c r="S41" s="33"/>
      <c r="T41" s="33"/>
      <c r="U41" s="33"/>
      <c r="V41" s="33"/>
      <c r="W41" s="33"/>
      <c r="X41" s="21"/>
      <c r="Y41" s="21"/>
      <c r="Z41" s="21"/>
      <c r="AA41" s="22"/>
      <c r="AB41" s="22"/>
      <c r="AC41" s="22"/>
      <c r="AD41" s="22"/>
      <c r="AE41" s="22"/>
      <c r="AF41" s="22"/>
      <c r="AG41" s="22"/>
      <c r="AH41" s="22"/>
      <c r="AI41" s="22"/>
      <c r="AJ41" s="22"/>
      <c r="AK41" s="22"/>
      <c r="AL41" s="22"/>
      <c r="AM41" s="22"/>
      <c r="AN41" s="22"/>
      <c r="AO41" s="22"/>
      <c r="AP41" s="22"/>
      <c r="AQ41" s="22"/>
      <c r="AR41" s="22"/>
      <c r="AS41" s="22"/>
      <c r="AT41" s="22"/>
      <c r="AU41" s="22"/>
      <c r="AV41" s="22"/>
      <c r="AW41" s="22"/>
    </row>
    <row r="42" spans="1:50" ht="15.75" customHeight="1" x14ac:dyDescent="0.2">
      <c r="A42" s="8" t="s">
        <v>30</v>
      </c>
      <c r="B42" s="34">
        <v>0</v>
      </c>
      <c r="C42" s="34">
        <v>0</v>
      </c>
      <c r="D42" s="34">
        <v>0</v>
      </c>
      <c r="E42" s="34">
        <v>0</v>
      </c>
      <c r="F42" s="34">
        <v>0</v>
      </c>
      <c r="G42" s="34">
        <v>0</v>
      </c>
      <c r="H42" s="34">
        <v>0</v>
      </c>
      <c r="I42" s="34">
        <v>0</v>
      </c>
      <c r="J42" s="34">
        <v>0</v>
      </c>
      <c r="K42" s="34">
        <v>0</v>
      </c>
      <c r="L42" s="34">
        <v>0</v>
      </c>
      <c r="M42" s="34">
        <v>0</v>
      </c>
      <c r="N42" s="34">
        <v>0</v>
      </c>
      <c r="O42" s="34">
        <v>0</v>
      </c>
      <c r="P42" s="34">
        <v>0</v>
      </c>
      <c r="Q42" s="34">
        <v>0</v>
      </c>
      <c r="R42" s="34">
        <v>0</v>
      </c>
      <c r="S42" s="34">
        <v>0</v>
      </c>
      <c r="T42" s="34">
        <v>0</v>
      </c>
      <c r="U42" s="34">
        <v>0</v>
      </c>
      <c r="V42" s="34">
        <v>0</v>
      </c>
      <c r="W42" s="34">
        <v>0</v>
      </c>
      <c r="X42" s="12">
        <v>0</v>
      </c>
      <c r="Y42" s="12">
        <v>0</v>
      </c>
      <c r="Z42" s="12">
        <v>0</v>
      </c>
      <c r="AA42" s="13">
        <v>0</v>
      </c>
      <c r="AB42" s="13">
        <v>0</v>
      </c>
      <c r="AC42" s="13">
        <v>0</v>
      </c>
      <c r="AD42" s="13">
        <v>0</v>
      </c>
      <c r="AE42" s="13">
        <v>0</v>
      </c>
      <c r="AF42" s="13">
        <v>0</v>
      </c>
      <c r="AG42" s="13">
        <v>0</v>
      </c>
      <c r="AH42" s="13">
        <v>0</v>
      </c>
      <c r="AI42" s="13">
        <v>0</v>
      </c>
      <c r="AJ42" s="13">
        <v>0</v>
      </c>
      <c r="AK42" s="13">
        <v>0</v>
      </c>
      <c r="AL42" s="13">
        <v>0</v>
      </c>
      <c r="AM42" s="13">
        <v>0</v>
      </c>
      <c r="AN42" s="13">
        <v>0</v>
      </c>
      <c r="AO42" s="13">
        <v>0</v>
      </c>
      <c r="AP42" s="13">
        <v>0</v>
      </c>
      <c r="AQ42" s="13">
        <v>0</v>
      </c>
      <c r="AR42" s="13">
        <v>0</v>
      </c>
      <c r="AS42" s="13">
        <v>0</v>
      </c>
      <c r="AT42" s="13">
        <v>0</v>
      </c>
      <c r="AU42" s="13">
        <v>0</v>
      </c>
      <c r="AV42" s="13">
        <v>0</v>
      </c>
      <c r="AW42" s="13">
        <v>0</v>
      </c>
    </row>
    <row r="43" spans="1:50" ht="15.75" customHeight="1" x14ac:dyDescent="0.2">
      <c r="A43" s="8" t="s">
        <v>31</v>
      </c>
      <c r="B43" s="34">
        <v>0</v>
      </c>
      <c r="C43" s="34">
        <v>0</v>
      </c>
      <c r="D43" s="34">
        <v>0</v>
      </c>
      <c r="E43" s="34">
        <v>0</v>
      </c>
      <c r="F43" s="34">
        <v>0</v>
      </c>
      <c r="G43" s="34">
        <v>0</v>
      </c>
      <c r="H43" s="34">
        <v>0</v>
      </c>
      <c r="I43" s="34">
        <v>0</v>
      </c>
      <c r="J43" s="34">
        <v>0</v>
      </c>
      <c r="K43" s="34">
        <v>0</v>
      </c>
      <c r="L43" s="34">
        <v>0</v>
      </c>
      <c r="M43" s="34">
        <v>0</v>
      </c>
      <c r="N43" s="34">
        <v>0</v>
      </c>
      <c r="O43" s="34">
        <v>0</v>
      </c>
      <c r="P43" s="34">
        <v>0</v>
      </c>
      <c r="Q43" s="34">
        <v>0</v>
      </c>
      <c r="R43" s="34">
        <v>0</v>
      </c>
      <c r="S43" s="34">
        <v>0</v>
      </c>
      <c r="T43" s="34">
        <v>0</v>
      </c>
      <c r="U43" s="34">
        <v>0</v>
      </c>
      <c r="V43" s="34">
        <v>0</v>
      </c>
      <c r="W43" s="34">
        <v>0</v>
      </c>
      <c r="X43" s="12">
        <v>0</v>
      </c>
      <c r="Y43" s="12">
        <v>0</v>
      </c>
      <c r="Z43" s="12">
        <v>0</v>
      </c>
      <c r="AA43" s="13">
        <v>0</v>
      </c>
      <c r="AB43" s="13">
        <v>0</v>
      </c>
      <c r="AC43" s="13">
        <v>0</v>
      </c>
      <c r="AD43" s="13">
        <v>0</v>
      </c>
      <c r="AE43" s="13">
        <v>0</v>
      </c>
      <c r="AF43" s="13">
        <v>0</v>
      </c>
      <c r="AG43" s="13">
        <v>0</v>
      </c>
      <c r="AH43" s="13">
        <v>0</v>
      </c>
      <c r="AI43" s="13">
        <v>0</v>
      </c>
      <c r="AJ43" s="13">
        <v>0</v>
      </c>
      <c r="AK43" s="13">
        <v>0</v>
      </c>
      <c r="AL43" s="13">
        <v>0</v>
      </c>
      <c r="AM43" s="13">
        <v>0</v>
      </c>
      <c r="AN43" s="13">
        <v>0</v>
      </c>
      <c r="AO43" s="13">
        <v>0</v>
      </c>
      <c r="AP43" s="13">
        <v>0</v>
      </c>
      <c r="AQ43" s="13">
        <v>0</v>
      </c>
      <c r="AR43" s="13">
        <v>0</v>
      </c>
      <c r="AS43" s="13">
        <v>0</v>
      </c>
      <c r="AT43" s="13">
        <v>0</v>
      </c>
      <c r="AU43" s="13">
        <v>0</v>
      </c>
      <c r="AV43" s="13">
        <v>0</v>
      </c>
      <c r="AW43" s="13">
        <v>0</v>
      </c>
    </row>
    <row r="44" spans="1:50" ht="15.75" customHeight="1" x14ac:dyDescent="0.2">
      <c r="A44" s="14" t="s">
        <v>32</v>
      </c>
      <c r="B44" s="35">
        <f t="shared" ref="B44:AW44" si="13">B39+B42-B43</f>
        <v>0</v>
      </c>
      <c r="C44" s="35">
        <f t="shared" si="13"/>
        <v>0</v>
      </c>
      <c r="D44" s="35">
        <f t="shared" si="13"/>
        <v>0</v>
      </c>
      <c r="E44" s="35">
        <f t="shared" si="13"/>
        <v>0</v>
      </c>
      <c r="F44" s="35">
        <f t="shared" si="13"/>
        <v>0</v>
      </c>
      <c r="G44" s="35">
        <f t="shared" si="13"/>
        <v>0</v>
      </c>
      <c r="H44" s="35">
        <f t="shared" si="13"/>
        <v>0</v>
      </c>
      <c r="I44" s="35">
        <f t="shared" si="13"/>
        <v>0</v>
      </c>
      <c r="J44" s="35">
        <f t="shared" si="13"/>
        <v>0</v>
      </c>
      <c r="K44" s="35">
        <f t="shared" si="13"/>
        <v>0</v>
      </c>
      <c r="L44" s="35">
        <f t="shared" si="13"/>
        <v>0</v>
      </c>
      <c r="M44" s="35">
        <f t="shared" si="13"/>
        <v>0</v>
      </c>
      <c r="N44" s="35">
        <f t="shared" si="13"/>
        <v>0</v>
      </c>
      <c r="O44" s="35">
        <f t="shared" si="13"/>
        <v>0</v>
      </c>
      <c r="P44" s="35">
        <f t="shared" si="13"/>
        <v>0</v>
      </c>
      <c r="Q44" s="35">
        <f t="shared" si="13"/>
        <v>0</v>
      </c>
      <c r="R44" s="35">
        <f t="shared" si="13"/>
        <v>0</v>
      </c>
      <c r="S44" s="35">
        <f t="shared" si="13"/>
        <v>0</v>
      </c>
      <c r="T44" s="35">
        <f t="shared" si="13"/>
        <v>0</v>
      </c>
      <c r="U44" s="35">
        <f t="shared" si="13"/>
        <v>0</v>
      </c>
      <c r="V44" s="35">
        <f t="shared" si="13"/>
        <v>0</v>
      </c>
      <c r="W44" s="35">
        <f t="shared" si="13"/>
        <v>0</v>
      </c>
      <c r="X44" s="15">
        <f t="shared" si="13"/>
        <v>0</v>
      </c>
      <c r="Y44" s="15">
        <f t="shared" si="13"/>
        <v>0</v>
      </c>
      <c r="Z44" s="15">
        <f t="shared" si="13"/>
        <v>0</v>
      </c>
      <c r="AA44" s="16">
        <f t="shared" si="13"/>
        <v>0</v>
      </c>
      <c r="AB44" s="16">
        <f t="shared" si="13"/>
        <v>0</v>
      </c>
      <c r="AC44" s="16">
        <f t="shared" si="13"/>
        <v>0</v>
      </c>
      <c r="AD44" s="16">
        <f t="shared" si="13"/>
        <v>0</v>
      </c>
      <c r="AE44" s="16">
        <f t="shared" si="13"/>
        <v>0</v>
      </c>
      <c r="AF44" s="16">
        <f t="shared" si="13"/>
        <v>0</v>
      </c>
      <c r="AG44" s="16">
        <f t="shared" si="13"/>
        <v>0</v>
      </c>
      <c r="AH44" s="16">
        <f t="shared" si="13"/>
        <v>0</v>
      </c>
      <c r="AI44" s="16">
        <f t="shared" si="13"/>
        <v>0</v>
      </c>
      <c r="AJ44" s="16">
        <f t="shared" si="13"/>
        <v>0</v>
      </c>
      <c r="AK44" s="16">
        <f t="shared" si="13"/>
        <v>0</v>
      </c>
      <c r="AL44" s="16">
        <f t="shared" si="13"/>
        <v>0</v>
      </c>
      <c r="AM44" s="16">
        <f t="shared" si="13"/>
        <v>0</v>
      </c>
      <c r="AN44" s="16">
        <f t="shared" si="13"/>
        <v>0</v>
      </c>
      <c r="AO44" s="16">
        <f t="shared" si="13"/>
        <v>0</v>
      </c>
      <c r="AP44" s="16">
        <f t="shared" si="13"/>
        <v>0</v>
      </c>
      <c r="AQ44" s="16">
        <f t="shared" si="13"/>
        <v>0</v>
      </c>
      <c r="AR44" s="16">
        <f t="shared" si="13"/>
        <v>0</v>
      </c>
      <c r="AS44" s="16">
        <f t="shared" si="13"/>
        <v>0</v>
      </c>
      <c r="AT44" s="16">
        <f t="shared" si="13"/>
        <v>0</v>
      </c>
      <c r="AU44" s="16">
        <f t="shared" si="13"/>
        <v>0</v>
      </c>
      <c r="AV44" s="16">
        <f t="shared" si="13"/>
        <v>0</v>
      </c>
      <c r="AW44" s="16">
        <f t="shared" si="13"/>
        <v>0</v>
      </c>
    </row>
    <row r="45" spans="1:50" ht="15.75" customHeight="1" x14ac:dyDescent="0.2">
      <c r="A45" s="36"/>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6"/>
    </row>
    <row r="46" spans="1:50" ht="15.75" customHeight="1" x14ac:dyDescent="0.2"/>
    <row r="47" spans="1:50" ht="48.75" customHeight="1" x14ac:dyDescent="0.2">
      <c r="A47" s="71" t="s">
        <v>33</v>
      </c>
      <c r="B47" s="72"/>
      <c r="C47" s="72"/>
      <c r="D47" s="72"/>
      <c r="E47" s="72"/>
      <c r="F47" s="72"/>
      <c r="G47" s="72"/>
      <c r="H47" s="72"/>
      <c r="I47" s="72"/>
      <c r="J47" s="72"/>
      <c r="K47" s="72"/>
      <c r="L47" s="72"/>
      <c r="M47" s="73"/>
    </row>
    <row r="48" spans="1:5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
    <mergeCell ref="A47:M47"/>
    <mergeCell ref="B1:H2"/>
    <mergeCell ref="I1:J2"/>
    <mergeCell ref="K1:AU2"/>
    <mergeCell ref="AV2:AW2"/>
    <mergeCell ref="B3:J3"/>
    <mergeCell ref="K3:AW3"/>
  </mergeCells>
  <pageMargins left="0.7" right="0.7" top="0.75" bottom="0.75" header="0" footer="0"/>
  <pageSetup orientation="portrait"/>
  <colBreaks count="2" manualBreakCount="2">
    <brk id="27" man="1"/>
    <brk id="13" man="1"/>
  </colBreaks>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'Base de dados'!$Z$1:$AK$1</xm:f>
          </x14:formula1>
          <xm:sqref>I1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heetViews>
  <sheetFormatPr baseColWidth="10" defaultColWidth="11.28515625" defaultRowHeight="15" customHeight="1" x14ac:dyDescent="0.2"/>
  <cols>
    <col min="1" max="5" width="18.7109375" customWidth="1"/>
    <col min="6" max="6" width="18.85546875" customWidth="1"/>
    <col min="7" max="7" width="23.140625" customWidth="1"/>
    <col min="8" max="8" width="12" customWidth="1"/>
    <col min="9" max="9" width="8.85546875" customWidth="1"/>
    <col min="10" max="10" width="3.85546875" customWidth="1"/>
    <col min="11" max="11" width="6.42578125" customWidth="1"/>
    <col min="12" max="12" width="5.85546875" customWidth="1"/>
    <col min="13" max="13" width="7.42578125" customWidth="1"/>
    <col min="14" max="26" width="11.5703125" customWidth="1"/>
  </cols>
  <sheetData>
    <row r="1" ht="15.75" customHeight="1" x14ac:dyDescent="0.2"/>
    <row r="2" ht="15.75" customHeight="1" x14ac:dyDescent="0.2"/>
    <row r="3" ht="15.75" customHeight="1" x14ac:dyDescent="0.2"/>
    <row r="4" ht="15.75" customHeight="1" x14ac:dyDescent="0.2"/>
    <row r="5" ht="15.75" customHeight="1" x14ac:dyDescent="0.2"/>
    <row r="6" ht="15.75" customHeight="1" x14ac:dyDescent="0.2"/>
    <row r="7" ht="15.75" customHeight="1" x14ac:dyDescent="0.2"/>
    <row r="8" ht="15.75" customHeight="1" x14ac:dyDescent="0.2"/>
    <row r="9" ht="15.75" customHeight="1" x14ac:dyDescent="0.2"/>
    <row r="10" ht="15.75" customHeight="1" x14ac:dyDescent="0.2"/>
    <row r="11" ht="15.75" customHeight="1" x14ac:dyDescent="0.2"/>
    <row r="12" ht="15.75" customHeight="1" x14ac:dyDescent="0.2"/>
    <row r="13" ht="15.75" customHeight="1" x14ac:dyDescent="0.2"/>
    <row r="14" ht="15.75" customHeight="1" x14ac:dyDescent="0.2"/>
    <row r="15" ht="15.75" customHeight="1" x14ac:dyDescent="0.2"/>
    <row r="16" ht="15.75" customHeight="1" x14ac:dyDescent="0.2"/>
    <row r="17" spans="1:6" ht="15.75" customHeight="1" x14ac:dyDescent="0.2"/>
    <row r="18" spans="1:6" ht="15.75" customHeight="1" x14ac:dyDescent="0.2"/>
    <row r="19" spans="1:6" ht="15.75" customHeight="1" x14ac:dyDescent="0.2"/>
    <row r="20" spans="1:6" ht="15.75" customHeight="1" x14ac:dyDescent="0.2"/>
    <row r="21" spans="1:6" ht="15.75" customHeight="1" x14ac:dyDescent="0.2"/>
    <row r="22" spans="1:6" ht="15.75" customHeight="1" x14ac:dyDescent="0.2"/>
    <row r="23" spans="1:6" ht="15.75" customHeight="1" x14ac:dyDescent="0.2"/>
    <row r="24" spans="1:6" ht="15.75" customHeight="1" x14ac:dyDescent="0.2"/>
    <row r="25" spans="1:6" ht="15.75" customHeight="1" x14ac:dyDescent="0.2"/>
    <row r="26" spans="1:6" ht="15.75" customHeight="1" x14ac:dyDescent="0.2"/>
    <row r="27" spans="1:6" ht="15.75" customHeight="1" x14ac:dyDescent="0.2">
      <c r="A27" s="38" t="s">
        <v>34</v>
      </c>
      <c r="B27" s="38" t="s">
        <v>35</v>
      </c>
      <c r="C27" s="38" t="s">
        <v>36</v>
      </c>
      <c r="D27" s="38" t="s">
        <v>37</v>
      </c>
      <c r="E27" s="38" t="s">
        <v>38</v>
      </c>
      <c r="F27" s="38" t="s">
        <v>39</v>
      </c>
    </row>
    <row r="28" spans="1:6" ht="46.5" customHeight="1" x14ac:dyDescent="0.2">
      <c r="A28" s="39" t="e">
        <f>VLOOKUP(A27,A100:B103,2,)</f>
        <v>#N/A</v>
      </c>
      <c r="B28" s="40" t="e">
        <f>VLOOKUP(B27,E100:F103,2,)</f>
        <v>#N/A</v>
      </c>
      <c r="C28" s="40" t="e">
        <f>VLOOKUP(C27,C100:D103,2,)</f>
        <v>#N/A</v>
      </c>
      <c r="D28" s="41">
        <f>VLOOKUP(D27,G100:H103,2,)</f>
        <v>0</v>
      </c>
      <c r="E28" s="40" t="e">
        <f>VLOOKUP(E27,I100:J103,2,)</f>
        <v>#N/A</v>
      </c>
      <c r="F28" s="40" t="e">
        <f>VLOOKUP(F27,K100:L103,2,)</f>
        <v>#N/A</v>
      </c>
    </row>
    <row r="29" spans="1:6" ht="15.75" customHeight="1" x14ac:dyDescent="0.2"/>
    <row r="30" spans="1:6" ht="15.75" customHeight="1" x14ac:dyDescent="0.2"/>
    <row r="31" spans="1:6" ht="15.75" customHeight="1" x14ac:dyDescent="0.2"/>
    <row r="32" spans="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spans="1:12" ht="15.75" customHeight="1" x14ac:dyDescent="0.2"/>
    <row r="98" spans="1:12" ht="15.75" customHeight="1" x14ac:dyDescent="0.2"/>
    <row r="99" spans="1:12" ht="15.75" customHeight="1" x14ac:dyDescent="0.2"/>
    <row r="100" spans="1:12" ht="15.75" customHeight="1" x14ac:dyDescent="0.2">
      <c r="A100" t="s">
        <v>40</v>
      </c>
      <c r="B100" s="42" t="e">
        <f>HLOOKUP(A109,'DRE '!B4:AW8,5,TRUE)</f>
        <v>#N/A</v>
      </c>
      <c r="C100" t="s">
        <v>36</v>
      </c>
      <c r="D100" s="43" t="e">
        <f>HLOOKUP(A109,'Base de dados'!A1:AW54,40,TRUE)</f>
        <v>#N/A</v>
      </c>
      <c r="E100" t="s">
        <v>35</v>
      </c>
      <c r="F100" s="43" t="e">
        <f>HLOOKUP(A109,'Base de dados'!A1:AW54,39,TRUE)</f>
        <v>#N/A</v>
      </c>
      <c r="G100" t="s">
        <v>37</v>
      </c>
      <c r="H100" s="8">
        <f t="shared" ref="H100:H103" si="0">IFERROR(D100/F100,0)</f>
        <v>0</v>
      </c>
      <c r="I100" t="s">
        <v>38</v>
      </c>
      <c r="J100" s="44" t="e">
        <f>HLOOKUP(A109,'Base de dados'!A1:AW54,42,TRUE)</f>
        <v>#N/A</v>
      </c>
      <c r="K100" t="s">
        <v>39</v>
      </c>
      <c r="L100" s="45" t="e">
        <f>HLOOKUP(A109,'Base de dados'!A1:AW55,55,TRUE)</f>
        <v>#N/A</v>
      </c>
    </row>
    <row r="101" spans="1:12" ht="15.75" customHeight="1" x14ac:dyDescent="0.2">
      <c r="A101" s="8" t="s">
        <v>41</v>
      </c>
      <c r="B101" s="42" t="e">
        <f>HLOOKUP(A109,'Base de dados'!A1:AW54,49,TRUE)</f>
        <v>#N/A</v>
      </c>
      <c r="C101" t="s">
        <v>42</v>
      </c>
      <c r="D101" s="43" t="e">
        <f>HLOOKUP(A109,'Base de dados'!A1:AW54,46,TRUE)</f>
        <v>#N/A</v>
      </c>
      <c r="E101" t="s">
        <v>43</v>
      </c>
      <c r="F101" s="43" t="e">
        <f>HLOOKUP(A109,'Base de dados'!A1:AW54,45,TRUE)</f>
        <v>#N/A</v>
      </c>
      <c r="G101" t="s">
        <v>44</v>
      </c>
      <c r="H101" s="8">
        <f t="shared" si="0"/>
        <v>0</v>
      </c>
      <c r="I101" t="s">
        <v>45</v>
      </c>
      <c r="J101" s="8" t="e">
        <f>HLOOKUP(A109,'Base de dados'!A1:AW54,52,TRUE)</f>
        <v>#N/A</v>
      </c>
      <c r="K101" t="s">
        <v>46</v>
      </c>
      <c r="L101" s="45" t="e">
        <f>HLOOKUP(A109,'Base de dados'!A1:AW56,56,TRUE)</f>
        <v>#N/A</v>
      </c>
    </row>
    <row r="102" spans="1:12" ht="15.75" customHeight="1" x14ac:dyDescent="0.2">
      <c r="A102" s="8" t="s">
        <v>47</v>
      </c>
      <c r="B102" s="42" t="e">
        <f>HLOOKUP(A109,'Base de dados'!A1:AW54,50,TRUE)</f>
        <v>#N/A</v>
      </c>
      <c r="C102" t="s">
        <v>48</v>
      </c>
      <c r="D102" s="43" t="e">
        <f>HLOOKUP(A109,'Base de dados'!A1:AW54,44,TRUE)</f>
        <v>#N/A</v>
      </c>
      <c r="E102" t="s">
        <v>49</v>
      </c>
      <c r="F102" s="43" t="e">
        <f>HLOOKUP(A109,'Base de dados'!A1:AW54,43,TRUE)</f>
        <v>#N/A</v>
      </c>
      <c r="G102" t="s">
        <v>50</v>
      </c>
      <c r="H102" s="8">
        <f t="shared" si="0"/>
        <v>0</v>
      </c>
      <c r="I102" t="s">
        <v>51</v>
      </c>
      <c r="J102" s="8" t="e">
        <f>HLOOKUP(A109,'Base de dados'!A1:AW54,53,TRUE)</f>
        <v>#N/A</v>
      </c>
      <c r="K102" t="s">
        <v>52</v>
      </c>
      <c r="L102" s="45" t="e">
        <f>HLOOKUP(A109,'Base de dados'!A1:AW57,57,TRUE)</f>
        <v>#N/A</v>
      </c>
    </row>
    <row r="103" spans="1:12" ht="15.75" customHeight="1" x14ac:dyDescent="0.2">
      <c r="A103" s="8" t="s">
        <v>34</v>
      </c>
      <c r="B103" s="42" t="e">
        <f>HLOOKUP(A109,'Base de dados'!A1:AW54,51,TRUE)</f>
        <v>#N/A</v>
      </c>
      <c r="C103" t="s">
        <v>53</v>
      </c>
      <c r="D103" s="43" t="e">
        <f>HLOOKUP(A109,'Base de dados'!A1:AW54,48,TRUE)</f>
        <v>#N/A</v>
      </c>
      <c r="E103" t="s">
        <v>54</v>
      </c>
      <c r="F103" s="43" t="e">
        <f>HLOOKUP(A109,'Base de dados'!A1:AW54,47,TRUE)</f>
        <v>#N/A</v>
      </c>
      <c r="G103" t="s">
        <v>55</v>
      </c>
      <c r="H103" s="8">
        <f t="shared" si="0"/>
        <v>0</v>
      </c>
      <c r="I103" t="s">
        <v>56</v>
      </c>
      <c r="J103" s="8" t="e">
        <f>HLOOKUP(A109,'Base de dados'!A1:AW54,54,TRUE)</f>
        <v>#N/A</v>
      </c>
      <c r="K103" t="s">
        <v>57</v>
      </c>
      <c r="L103" s="45" t="e">
        <f>HLOOKUP(A109,'Base de dados'!A1:AW58,58,TRUE)</f>
        <v>#N/A</v>
      </c>
    </row>
    <row r="104" spans="1:12" ht="15.75" customHeight="1" x14ac:dyDescent="0.2"/>
    <row r="105" spans="1:12" ht="15.75" customHeight="1" x14ac:dyDescent="0.2"/>
    <row r="106" spans="1:12" ht="15.75" customHeight="1" x14ac:dyDescent="0.2"/>
    <row r="107" spans="1:12" ht="15.75" customHeight="1" x14ac:dyDescent="0.2"/>
    <row r="108" spans="1:12" ht="15.75" customHeight="1" x14ac:dyDescent="0.2"/>
    <row r="109" spans="1:12" ht="15.75" customHeight="1" x14ac:dyDescent="0.2">
      <c r="A109" s="46">
        <f t="array" ref="A109:B110">'DRE '!I1:J2</f>
        <v>0</v>
      </c>
      <c r="B109" s="8">
        <v>0</v>
      </c>
    </row>
    <row r="110" spans="1:12" ht="15.75" customHeight="1" x14ac:dyDescent="0.2">
      <c r="A110" s="8">
        <v>0</v>
      </c>
      <c r="B110" s="8">
        <v>0</v>
      </c>
    </row>
    <row r="111" spans="1:12" ht="15.75" customHeight="1" x14ac:dyDescent="0.2"/>
    <row r="112" spans="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6">
    <dataValidation type="list" allowBlank="1" showErrorMessage="1" sqref="A27" xr:uid="{00000000-0002-0000-0200-000000000000}">
      <formula1>$A$100:$A$103</formula1>
    </dataValidation>
    <dataValidation type="list" allowBlank="1" showErrorMessage="1" sqref="B27" xr:uid="{00000000-0002-0000-0200-000001000000}">
      <formula1>$E$100:$E$103</formula1>
    </dataValidation>
    <dataValidation type="list" allowBlank="1" showErrorMessage="1" sqref="E27" xr:uid="{00000000-0002-0000-0200-000002000000}">
      <formula1>$I$100:$I$103</formula1>
    </dataValidation>
    <dataValidation type="list" allowBlank="1" showErrorMessage="1" sqref="F27" xr:uid="{00000000-0002-0000-0200-000003000000}">
      <formula1>$K$100:$K$103</formula1>
    </dataValidation>
    <dataValidation type="list" allowBlank="1" showErrorMessage="1" sqref="C27" xr:uid="{00000000-0002-0000-0200-000004000000}">
      <formula1>$C$100:$C$103</formula1>
    </dataValidation>
    <dataValidation type="list" allowBlank="1" showErrorMessage="1" sqref="D27" xr:uid="{00000000-0002-0000-0200-000005000000}">
      <formula1>$G$100:$G$103</formula1>
    </dataValidation>
  </dataValidations>
  <pageMargins left="0.511811024" right="0.511811024" top="0.78740157499999996" bottom="0.78740157499999996"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C1000"/>
  <sheetViews>
    <sheetView workbookViewId="0">
      <pane xSplit="1" topLeftCell="B1" activePane="topRight" state="frozen"/>
      <selection pane="topRight" activeCell="C2" sqref="C2"/>
    </sheetView>
  </sheetViews>
  <sheetFormatPr baseColWidth="10" defaultColWidth="11.28515625" defaultRowHeight="15" customHeight="1" x14ac:dyDescent="0.2"/>
  <cols>
    <col min="1" max="1" width="30.28515625" customWidth="1"/>
    <col min="2" max="6" width="11.42578125" customWidth="1"/>
    <col min="7" max="17" width="10.85546875" customWidth="1"/>
    <col min="18" max="55" width="11.5703125" customWidth="1"/>
  </cols>
  <sheetData>
    <row r="1" spans="1:55" ht="15.75" customHeight="1" x14ac:dyDescent="0.2">
      <c r="B1" s="46">
        <v>43466</v>
      </c>
      <c r="C1" s="46">
        <v>43497</v>
      </c>
      <c r="D1" s="46">
        <v>43525</v>
      </c>
      <c r="E1" s="46">
        <v>43556</v>
      </c>
      <c r="F1" s="46">
        <v>43586</v>
      </c>
      <c r="G1" s="46">
        <v>43617</v>
      </c>
      <c r="H1" s="46">
        <v>43647</v>
      </c>
      <c r="I1" s="46">
        <v>43678</v>
      </c>
      <c r="J1" s="46">
        <v>43709</v>
      </c>
      <c r="K1" s="46">
        <v>43739</v>
      </c>
      <c r="L1" s="46">
        <v>43770</v>
      </c>
      <c r="M1" s="46">
        <v>43800</v>
      </c>
      <c r="N1" s="46">
        <v>43831</v>
      </c>
      <c r="O1" s="46">
        <v>43862</v>
      </c>
      <c r="P1" s="46">
        <v>43891</v>
      </c>
      <c r="Q1" s="46">
        <v>43922</v>
      </c>
      <c r="R1" s="46">
        <v>43952</v>
      </c>
      <c r="S1" s="46">
        <v>43983</v>
      </c>
      <c r="T1" s="46">
        <v>44013</v>
      </c>
      <c r="U1" s="46">
        <v>44044</v>
      </c>
      <c r="V1" s="46">
        <v>44075</v>
      </c>
      <c r="W1" s="46">
        <v>44105</v>
      </c>
      <c r="X1" s="46">
        <v>44136</v>
      </c>
      <c r="Y1" s="46">
        <v>44166</v>
      </c>
      <c r="Z1" s="46">
        <v>44197</v>
      </c>
      <c r="AA1" s="46">
        <v>44228</v>
      </c>
      <c r="AB1" s="46">
        <v>44256</v>
      </c>
      <c r="AC1" s="46">
        <v>44287</v>
      </c>
      <c r="AD1" s="46">
        <v>44317</v>
      </c>
      <c r="AE1" s="46">
        <v>44348</v>
      </c>
      <c r="AF1" s="46">
        <v>44378</v>
      </c>
      <c r="AG1" s="46">
        <v>44409</v>
      </c>
      <c r="AH1" s="46">
        <v>44440</v>
      </c>
      <c r="AI1" s="46">
        <v>44470</v>
      </c>
      <c r="AJ1" s="46">
        <v>44501</v>
      </c>
      <c r="AK1" s="46">
        <v>44531</v>
      </c>
      <c r="AL1" s="46">
        <v>44562</v>
      </c>
      <c r="AM1" s="46">
        <v>44593</v>
      </c>
      <c r="AN1" s="46">
        <v>44621</v>
      </c>
      <c r="AO1" s="46">
        <v>44652</v>
      </c>
      <c r="AP1" s="46">
        <v>44682</v>
      </c>
      <c r="AQ1" s="46">
        <v>44713</v>
      </c>
      <c r="AR1" s="46">
        <v>44743</v>
      </c>
      <c r="AS1" s="46">
        <v>44774</v>
      </c>
      <c r="AT1" s="46">
        <v>44805</v>
      </c>
      <c r="AU1" s="46">
        <v>44835</v>
      </c>
      <c r="AV1" s="46">
        <v>44866</v>
      </c>
      <c r="AW1" s="46">
        <v>44896</v>
      </c>
    </row>
    <row r="2" spans="1:55" ht="15.75" customHeight="1" x14ac:dyDescent="0.2">
      <c r="A2" s="47" t="s">
        <v>58</v>
      </c>
      <c r="B2" s="6" t="s">
        <v>59</v>
      </c>
      <c r="C2" s="6" t="s">
        <v>60</v>
      </c>
      <c r="D2" s="6" t="s">
        <v>61</v>
      </c>
      <c r="E2" s="6" t="s">
        <v>62</v>
      </c>
      <c r="F2" s="6" t="s">
        <v>63</v>
      </c>
      <c r="G2" s="6" t="s">
        <v>64</v>
      </c>
      <c r="H2" s="6" t="s">
        <v>65</v>
      </c>
      <c r="I2" s="6" t="s">
        <v>66</v>
      </c>
      <c r="J2" s="6" t="s">
        <v>67</v>
      </c>
      <c r="K2" s="6" t="s">
        <v>68</v>
      </c>
      <c r="L2" s="6" t="s">
        <v>69</v>
      </c>
      <c r="M2" s="6" t="s">
        <v>70</v>
      </c>
      <c r="N2" s="6" t="s">
        <v>71</v>
      </c>
      <c r="O2" s="6" t="s">
        <v>72</v>
      </c>
      <c r="P2" s="6" t="s">
        <v>73</v>
      </c>
      <c r="Q2" s="6" t="s">
        <v>74</v>
      </c>
      <c r="R2" s="6" t="s">
        <v>75</v>
      </c>
      <c r="S2" s="6" t="s">
        <v>76</v>
      </c>
      <c r="T2" s="6" t="s">
        <v>77</v>
      </c>
      <c r="U2" s="6" t="s">
        <v>78</v>
      </c>
      <c r="V2" s="6" t="s">
        <v>79</v>
      </c>
      <c r="W2" s="6" t="s">
        <v>80</v>
      </c>
      <c r="X2" s="6" t="s">
        <v>81</v>
      </c>
      <c r="Y2" s="6" t="s">
        <v>82</v>
      </c>
      <c r="Z2" s="6" t="s">
        <v>83</v>
      </c>
      <c r="AA2" s="6" t="s">
        <v>84</v>
      </c>
      <c r="AB2" s="6" t="s">
        <v>85</v>
      </c>
      <c r="AC2" s="6" t="s">
        <v>86</v>
      </c>
      <c r="AD2" s="6" t="s">
        <v>87</v>
      </c>
      <c r="AE2" s="6" t="s">
        <v>88</v>
      </c>
      <c r="AF2" s="6" t="s">
        <v>89</v>
      </c>
      <c r="AG2" s="6" t="s">
        <v>90</v>
      </c>
      <c r="AH2" s="6" t="s">
        <v>91</v>
      </c>
      <c r="AI2" s="6" t="s">
        <v>92</v>
      </c>
      <c r="AJ2" s="6" t="s">
        <v>93</v>
      </c>
      <c r="AK2" s="6" t="s">
        <v>94</v>
      </c>
      <c r="AL2" s="6" t="s">
        <v>95</v>
      </c>
      <c r="AM2" s="6" t="s">
        <v>96</v>
      </c>
      <c r="AN2" s="6" t="s">
        <v>97</v>
      </c>
      <c r="AO2" s="6" t="s">
        <v>98</v>
      </c>
      <c r="AP2" s="6" t="s">
        <v>99</v>
      </c>
      <c r="AQ2" s="6" t="s">
        <v>100</v>
      </c>
      <c r="AR2" s="6" t="s">
        <v>101</v>
      </c>
      <c r="AS2" s="6" t="s">
        <v>102</v>
      </c>
      <c r="AT2" s="6" t="s">
        <v>103</v>
      </c>
      <c r="AU2" s="6" t="s">
        <v>104</v>
      </c>
      <c r="AV2" s="6" t="s">
        <v>105</v>
      </c>
      <c r="AW2" s="6" t="s">
        <v>106</v>
      </c>
      <c r="BC2" s="46"/>
    </row>
    <row r="3" spans="1:55" ht="15.75" customHeight="1" x14ac:dyDescent="0.2">
      <c r="A3" s="48" t="s">
        <v>5</v>
      </c>
      <c r="B3" s="49">
        <f>'DRE '!B5</f>
        <v>0</v>
      </c>
      <c r="C3" s="49">
        <f>'DRE '!C5</f>
        <v>0</v>
      </c>
      <c r="D3" s="49">
        <f>'DRE '!D5</f>
        <v>0</v>
      </c>
      <c r="E3" s="49">
        <f>'DRE '!E5</f>
        <v>0</v>
      </c>
      <c r="F3" s="49">
        <f>'DRE '!F5</f>
        <v>0</v>
      </c>
      <c r="G3" s="49">
        <f>'DRE '!G5</f>
        <v>0</v>
      </c>
      <c r="H3" s="49">
        <f>'DRE '!H5</f>
        <v>0</v>
      </c>
      <c r="I3" s="49">
        <f>'DRE '!I5</f>
        <v>0</v>
      </c>
      <c r="J3" s="49">
        <f>'DRE '!J5</f>
        <v>0</v>
      </c>
      <c r="K3" s="49">
        <f>'DRE '!K5</f>
        <v>0</v>
      </c>
      <c r="L3" s="49">
        <f>'DRE '!L5</f>
        <v>0</v>
      </c>
      <c r="M3" s="49">
        <f>'DRE '!M5</f>
        <v>0</v>
      </c>
      <c r="N3" s="49">
        <f>'DRE '!N5</f>
        <v>0</v>
      </c>
      <c r="O3" s="49">
        <f>'DRE '!O5</f>
        <v>0</v>
      </c>
      <c r="P3" s="49">
        <f>'DRE '!P5</f>
        <v>0</v>
      </c>
      <c r="Q3" s="49">
        <f>'DRE '!Q5</f>
        <v>0</v>
      </c>
      <c r="R3" s="49">
        <f>'DRE '!R5</f>
        <v>0</v>
      </c>
      <c r="S3" s="49">
        <f>'DRE '!S5</f>
        <v>0</v>
      </c>
      <c r="T3" s="49">
        <f>'DRE '!T5</f>
        <v>0</v>
      </c>
      <c r="U3" s="49">
        <f>'DRE '!U5</f>
        <v>0</v>
      </c>
      <c r="V3" s="49">
        <f>'DRE '!V5</f>
        <v>0</v>
      </c>
      <c r="W3" s="49">
        <f>'DRE '!W5</f>
        <v>0</v>
      </c>
      <c r="X3" s="49">
        <f>'DRE '!X5</f>
        <v>0</v>
      </c>
      <c r="Y3" s="49">
        <f>'DRE '!Y5</f>
        <v>0</v>
      </c>
      <c r="Z3" s="49">
        <f>'DRE '!Z5</f>
        <v>0</v>
      </c>
      <c r="AA3" s="49">
        <f>'DRE '!AA5</f>
        <v>0</v>
      </c>
      <c r="AB3" s="49">
        <f>'DRE '!AB5</f>
        <v>0</v>
      </c>
      <c r="AC3" s="49">
        <f>'DRE '!AC5</f>
        <v>0</v>
      </c>
      <c r="AD3" s="49">
        <f>'DRE '!AD5</f>
        <v>0</v>
      </c>
      <c r="AE3" s="49">
        <f>'DRE '!AE5</f>
        <v>0</v>
      </c>
      <c r="AF3" s="49">
        <f>'DRE '!AF5</f>
        <v>0</v>
      </c>
      <c r="AG3" s="49">
        <f>'DRE '!AG5</f>
        <v>0</v>
      </c>
      <c r="AH3" s="49">
        <f>'DRE '!AH5</f>
        <v>0</v>
      </c>
      <c r="AI3" s="49">
        <f>'DRE '!AI5</f>
        <v>0</v>
      </c>
      <c r="AJ3" s="49">
        <f>'DRE '!AJ5</f>
        <v>0</v>
      </c>
      <c r="AK3" s="49">
        <f>'DRE '!AK5</f>
        <v>0</v>
      </c>
      <c r="AL3" s="49">
        <f>'DRE '!AL5</f>
        <v>0</v>
      </c>
      <c r="AM3" s="49">
        <f>'DRE '!AM5</f>
        <v>0</v>
      </c>
      <c r="AN3" s="49">
        <f>'DRE '!AN5</f>
        <v>0</v>
      </c>
      <c r="AO3" s="49">
        <f>'DRE '!AO5</f>
        <v>0</v>
      </c>
      <c r="AP3" s="49">
        <f>'DRE '!AP5</f>
        <v>0</v>
      </c>
      <c r="AQ3" s="49">
        <f>'DRE '!AQ5</f>
        <v>0</v>
      </c>
      <c r="AR3" s="49">
        <f>'DRE '!AR5</f>
        <v>0</v>
      </c>
      <c r="AS3" s="49">
        <f>'DRE '!AS5</f>
        <v>0</v>
      </c>
      <c r="AT3" s="49">
        <f>'DRE '!AT5</f>
        <v>0</v>
      </c>
      <c r="AU3" s="49">
        <f>'DRE '!AU5</f>
        <v>0</v>
      </c>
      <c r="AV3" s="49">
        <f>'DRE '!AV5</f>
        <v>0</v>
      </c>
      <c r="AW3" s="49">
        <f>'DRE '!AW5</f>
        <v>0</v>
      </c>
      <c r="BC3" s="46"/>
    </row>
    <row r="4" spans="1:55" ht="15.75" customHeight="1" x14ac:dyDescent="0.2">
      <c r="A4" s="48" t="s">
        <v>107</v>
      </c>
      <c r="B4" s="49">
        <f>'DRE '!B7</f>
        <v>0</v>
      </c>
      <c r="C4" s="49">
        <f>'DRE '!C7</f>
        <v>0</v>
      </c>
      <c r="D4" s="49">
        <f>'DRE '!D7</f>
        <v>0</v>
      </c>
      <c r="E4" s="49">
        <f>'DRE '!E7</f>
        <v>0</v>
      </c>
      <c r="F4" s="49">
        <f>'DRE '!F7</f>
        <v>0</v>
      </c>
      <c r="G4" s="49">
        <f>'DRE '!G7</f>
        <v>0</v>
      </c>
      <c r="H4" s="49">
        <f>'DRE '!H7</f>
        <v>0</v>
      </c>
      <c r="I4" s="49">
        <f>'DRE '!I7</f>
        <v>0</v>
      </c>
      <c r="J4" s="49">
        <f>'DRE '!J7</f>
        <v>0</v>
      </c>
      <c r="K4" s="49">
        <f>'DRE '!K7</f>
        <v>0</v>
      </c>
      <c r="L4" s="49">
        <f>'DRE '!L7</f>
        <v>0</v>
      </c>
      <c r="M4" s="49">
        <f>'DRE '!M7</f>
        <v>0</v>
      </c>
      <c r="N4" s="49">
        <f>'DRE '!N7</f>
        <v>0</v>
      </c>
      <c r="O4" s="49">
        <f>'DRE '!O7</f>
        <v>0</v>
      </c>
      <c r="P4" s="49">
        <f>'DRE '!P7</f>
        <v>0</v>
      </c>
      <c r="Q4" s="49">
        <f>'DRE '!Q7</f>
        <v>0</v>
      </c>
      <c r="R4" s="49">
        <f>'DRE '!R7</f>
        <v>0</v>
      </c>
      <c r="S4" s="49">
        <f>'DRE '!S7</f>
        <v>0</v>
      </c>
      <c r="T4" s="49">
        <f>'DRE '!T7</f>
        <v>0</v>
      </c>
      <c r="U4" s="49">
        <f>'DRE '!U7</f>
        <v>0</v>
      </c>
      <c r="V4" s="49">
        <f>'DRE '!V7</f>
        <v>0</v>
      </c>
      <c r="W4" s="49">
        <f>'DRE '!W7</f>
        <v>0</v>
      </c>
      <c r="X4" s="49">
        <f>'DRE '!X7</f>
        <v>0</v>
      </c>
      <c r="Y4" s="49">
        <f>'DRE '!Y7</f>
        <v>0</v>
      </c>
      <c r="Z4" s="49">
        <f>'DRE '!Z7</f>
        <v>0</v>
      </c>
      <c r="AA4" s="49">
        <f>'DRE '!AA7</f>
        <v>0</v>
      </c>
      <c r="AB4" s="49">
        <f>'DRE '!AB7</f>
        <v>0</v>
      </c>
      <c r="AC4" s="49">
        <f>'DRE '!AC7</f>
        <v>0</v>
      </c>
      <c r="AD4" s="49">
        <f>'DRE '!AD7</f>
        <v>0</v>
      </c>
      <c r="AE4" s="49">
        <f>'DRE '!AE7</f>
        <v>0</v>
      </c>
      <c r="AF4" s="49">
        <f>'DRE '!AF7</f>
        <v>0</v>
      </c>
      <c r="AG4" s="49">
        <f>'DRE '!AG7</f>
        <v>0</v>
      </c>
      <c r="AH4" s="49">
        <f>'DRE '!AH7</f>
        <v>0</v>
      </c>
      <c r="AI4" s="49">
        <f>'DRE '!AI7</f>
        <v>0</v>
      </c>
      <c r="AJ4" s="49">
        <f>'DRE '!AJ7</f>
        <v>0</v>
      </c>
      <c r="AK4" s="49">
        <f>'DRE '!AK7</f>
        <v>0</v>
      </c>
      <c r="AL4" s="49">
        <f>'DRE '!AL7</f>
        <v>0</v>
      </c>
      <c r="AM4" s="49">
        <f>'DRE '!AM7</f>
        <v>0</v>
      </c>
      <c r="AN4" s="49">
        <f>'DRE '!AN7</f>
        <v>0</v>
      </c>
      <c r="AO4" s="49">
        <f>'DRE '!AO7</f>
        <v>0</v>
      </c>
      <c r="AP4" s="49">
        <f>'DRE '!AP7</f>
        <v>0</v>
      </c>
      <c r="AQ4" s="49">
        <f>'DRE '!AQ7</f>
        <v>0</v>
      </c>
      <c r="AR4" s="49">
        <f>'DRE '!AR7</f>
        <v>0</v>
      </c>
      <c r="AS4" s="49">
        <f>'DRE '!AS7</f>
        <v>0</v>
      </c>
      <c r="AT4" s="49">
        <f>'DRE '!AT7</f>
        <v>0</v>
      </c>
      <c r="AU4" s="49">
        <f>'DRE '!AU7</f>
        <v>0</v>
      </c>
      <c r="AV4" s="49">
        <f>'DRE '!AV7</f>
        <v>0</v>
      </c>
      <c r="AW4" s="49">
        <f>'DRE '!AW7</f>
        <v>0</v>
      </c>
      <c r="BC4" s="46"/>
    </row>
    <row r="5" spans="1:55" ht="15.75" customHeight="1" x14ac:dyDescent="0.2">
      <c r="A5" s="50" t="s">
        <v>108</v>
      </c>
      <c r="B5" s="49">
        <f>'DRE '!B6</f>
        <v>0</v>
      </c>
      <c r="C5" s="49">
        <f>'DRE '!C6</f>
        <v>0</v>
      </c>
      <c r="D5" s="49">
        <f>'DRE '!D6</f>
        <v>0</v>
      </c>
      <c r="E5" s="49">
        <f>'DRE '!E6</f>
        <v>0</v>
      </c>
      <c r="F5" s="49">
        <f>'DRE '!F6</f>
        <v>0</v>
      </c>
      <c r="G5" s="49">
        <f>'DRE '!G6</f>
        <v>0</v>
      </c>
      <c r="H5" s="49">
        <f>'DRE '!H6</f>
        <v>0</v>
      </c>
      <c r="I5" s="49">
        <f>'DRE '!I6</f>
        <v>0</v>
      </c>
      <c r="J5" s="49">
        <f>'DRE '!J6</f>
        <v>0</v>
      </c>
      <c r="K5" s="49">
        <f>'DRE '!K6</f>
        <v>0</v>
      </c>
      <c r="L5" s="49">
        <f>'DRE '!L6</f>
        <v>0</v>
      </c>
      <c r="M5" s="49">
        <f>'DRE '!M6</f>
        <v>0</v>
      </c>
      <c r="N5" s="49">
        <f>'DRE '!N6</f>
        <v>0</v>
      </c>
      <c r="O5" s="49">
        <f>'DRE '!O6</f>
        <v>0</v>
      </c>
      <c r="P5" s="49">
        <f>'DRE '!P6</f>
        <v>0</v>
      </c>
      <c r="Q5" s="49">
        <f>'DRE '!Q6</f>
        <v>0</v>
      </c>
      <c r="R5" s="49">
        <f>'DRE '!R6</f>
        <v>0</v>
      </c>
      <c r="S5" s="49">
        <f>'DRE '!S6</f>
        <v>0</v>
      </c>
      <c r="T5" s="49">
        <f>'DRE '!T6</f>
        <v>0</v>
      </c>
      <c r="U5" s="49">
        <f>'DRE '!U6</f>
        <v>0</v>
      </c>
      <c r="V5" s="49">
        <f>'DRE '!V6</f>
        <v>0</v>
      </c>
      <c r="W5" s="49">
        <f>'DRE '!W6</f>
        <v>0</v>
      </c>
      <c r="X5" s="49">
        <f>'DRE '!X6</f>
        <v>0</v>
      </c>
      <c r="Y5" s="49">
        <f>'DRE '!Y6</f>
        <v>0</v>
      </c>
      <c r="Z5" s="49">
        <f>'DRE '!Z6</f>
        <v>0</v>
      </c>
      <c r="AA5" s="49">
        <f>'DRE '!AA6</f>
        <v>0</v>
      </c>
      <c r="AB5" s="49">
        <f>'DRE '!AB6</f>
        <v>0</v>
      </c>
      <c r="AC5" s="49">
        <f>'DRE '!AC6</f>
        <v>0</v>
      </c>
      <c r="AD5" s="49">
        <f>'DRE '!AD6</f>
        <v>0</v>
      </c>
      <c r="AE5" s="49">
        <f>'DRE '!AE6</f>
        <v>0</v>
      </c>
      <c r="AF5" s="49">
        <f>'DRE '!AF6</f>
        <v>0</v>
      </c>
      <c r="AG5" s="49">
        <f>'DRE '!AG6</f>
        <v>0</v>
      </c>
      <c r="AH5" s="49">
        <f>'DRE '!AH6</f>
        <v>0</v>
      </c>
      <c r="AI5" s="49">
        <f>'DRE '!AI6</f>
        <v>0</v>
      </c>
      <c r="AJ5" s="49">
        <f>'DRE '!AJ6</f>
        <v>0</v>
      </c>
      <c r="AK5" s="49">
        <f>'DRE '!AK6</f>
        <v>0</v>
      </c>
      <c r="AL5" s="49">
        <f>'DRE '!AL6</f>
        <v>0</v>
      </c>
      <c r="AM5" s="49">
        <f>'DRE '!AM6</f>
        <v>0</v>
      </c>
      <c r="AN5" s="49">
        <f>'DRE '!AN6</f>
        <v>0</v>
      </c>
      <c r="AO5" s="49">
        <f>'DRE '!AO6</f>
        <v>0</v>
      </c>
      <c r="AP5" s="49">
        <f>'DRE '!AP6</f>
        <v>0</v>
      </c>
      <c r="AQ5" s="49">
        <f>'DRE '!AQ6</f>
        <v>0</v>
      </c>
      <c r="AR5" s="49">
        <f>'DRE '!AR6</f>
        <v>0</v>
      </c>
      <c r="AS5" s="49">
        <f>'DRE '!AS6</f>
        <v>0</v>
      </c>
      <c r="AT5" s="49">
        <f>'DRE '!AT6</f>
        <v>0</v>
      </c>
      <c r="AU5" s="49">
        <f>'DRE '!AU6</f>
        <v>0</v>
      </c>
      <c r="AV5" s="49">
        <f>'DRE '!AV6</f>
        <v>0</v>
      </c>
      <c r="AW5" s="49">
        <f>'DRE '!AW6</f>
        <v>0</v>
      </c>
      <c r="BC5" s="46"/>
    </row>
    <row r="6" spans="1:55" ht="15.75" customHeight="1" x14ac:dyDescent="0.2">
      <c r="A6" s="48" t="s">
        <v>8</v>
      </c>
      <c r="B6" s="51">
        <f>'DRE '!B8</f>
        <v>0</v>
      </c>
      <c r="C6" s="51">
        <f>'DRE '!C8</f>
        <v>0</v>
      </c>
      <c r="D6" s="51">
        <f>'DRE '!D8</f>
        <v>0</v>
      </c>
      <c r="E6" s="51">
        <f>'DRE '!E8</f>
        <v>0</v>
      </c>
      <c r="F6" s="51">
        <f>'DRE '!F8</f>
        <v>0</v>
      </c>
      <c r="G6" s="51">
        <f>'DRE '!G8</f>
        <v>0</v>
      </c>
      <c r="H6" s="51">
        <f>'DRE '!H8</f>
        <v>0</v>
      </c>
      <c r="I6" s="51">
        <f>'DRE '!I8</f>
        <v>0</v>
      </c>
      <c r="J6" s="51">
        <f>'DRE '!J8</f>
        <v>0</v>
      </c>
      <c r="K6" s="51">
        <f>'DRE '!K8</f>
        <v>0</v>
      </c>
      <c r="L6" s="51">
        <f>'DRE '!L8</f>
        <v>0</v>
      </c>
      <c r="M6" s="51">
        <f>'DRE '!M8</f>
        <v>0</v>
      </c>
      <c r="N6" s="51">
        <f>'DRE '!N8</f>
        <v>0</v>
      </c>
      <c r="O6" s="51">
        <f>'DRE '!O8</f>
        <v>0</v>
      </c>
      <c r="P6" s="51">
        <f>'DRE '!P8</f>
        <v>0</v>
      </c>
      <c r="Q6" s="51">
        <f>'DRE '!Q8</f>
        <v>0</v>
      </c>
      <c r="R6" s="51">
        <f>'DRE '!R8</f>
        <v>0</v>
      </c>
      <c r="S6" s="51">
        <f>'DRE '!S8</f>
        <v>0</v>
      </c>
      <c r="T6" s="51">
        <f>'DRE '!T8</f>
        <v>0</v>
      </c>
      <c r="U6" s="51">
        <f>'DRE '!U8</f>
        <v>0</v>
      </c>
      <c r="V6" s="51">
        <f>'DRE '!V8</f>
        <v>0</v>
      </c>
      <c r="W6" s="51">
        <f>'DRE '!W8</f>
        <v>0</v>
      </c>
      <c r="X6" s="51">
        <f>'DRE '!X8</f>
        <v>0</v>
      </c>
      <c r="Y6" s="51">
        <f>'DRE '!Y8</f>
        <v>0</v>
      </c>
      <c r="Z6" s="51">
        <f>'DRE '!Z8</f>
        <v>0</v>
      </c>
      <c r="AA6" s="51">
        <f>'DRE '!AA8</f>
        <v>0</v>
      </c>
      <c r="AB6" s="51">
        <f>'DRE '!AB8</f>
        <v>0</v>
      </c>
      <c r="AC6" s="51">
        <f>'DRE '!AC8</f>
        <v>0</v>
      </c>
      <c r="AD6" s="51">
        <f>'DRE '!AD8</f>
        <v>0</v>
      </c>
      <c r="AE6" s="51">
        <f>'DRE '!AE8</f>
        <v>0</v>
      </c>
      <c r="AF6" s="51">
        <f>'DRE '!AF8</f>
        <v>0</v>
      </c>
      <c r="AG6" s="51">
        <f>'DRE '!AG8</f>
        <v>0</v>
      </c>
      <c r="AH6" s="51">
        <f>'DRE '!AH8</f>
        <v>0</v>
      </c>
      <c r="AI6" s="51">
        <f>'DRE '!AI8</f>
        <v>0</v>
      </c>
      <c r="AJ6" s="51">
        <f>'DRE '!AJ8</f>
        <v>0</v>
      </c>
      <c r="AK6" s="51">
        <f>'DRE '!AK8</f>
        <v>0</v>
      </c>
      <c r="AL6" s="51">
        <f>'DRE '!AL8</f>
        <v>0</v>
      </c>
      <c r="AM6" s="51">
        <f>'DRE '!AM8</f>
        <v>0</v>
      </c>
      <c r="AN6" s="51">
        <f>'DRE '!AN8</f>
        <v>0</v>
      </c>
      <c r="AO6" s="51">
        <f>'DRE '!AO8</f>
        <v>0</v>
      </c>
      <c r="AP6" s="51">
        <f>'DRE '!AP8</f>
        <v>0</v>
      </c>
      <c r="AQ6" s="51">
        <f>'DRE '!AQ8</f>
        <v>0</v>
      </c>
      <c r="AR6" s="51">
        <f>'DRE '!AR8</f>
        <v>0</v>
      </c>
      <c r="AS6" s="51">
        <f>'DRE '!AS8</f>
        <v>0</v>
      </c>
      <c r="AT6" s="51">
        <f>'DRE '!AT8</f>
        <v>0</v>
      </c>
      <c r="AU6" s="51">
        <f>'DRE '!AU8</f>
        <v>0</v>
      </c>
      <c r="AV6" s="51">
        <f>'DRE '!AV8</f>
        <v>0</v>
      </c>
      <c r="AW6" s="52">
        <f>'DRE '!AW8</f>
        <v>0</v>
      </c>
      <c r="BC6" s="46"/>
    </row>
    <row r="7" spans="1:55" ht="15.75" customHeight="1" x14ac:dyDescent="0.2">
      <c r="A7" s="50" t="s">
        <v>9</v>
      </c>
      <c r="B7" s="53">
        <f>'DRE '!B10</f>
        <v>0</v>
      </c>
      <c r="C7" s="53">
        <f>'DRE '!C10</f>
        <v>0</v>
      </c>
      <c r="D7" s="53">
        <f>'DRE '!D10</f>
        <v>0</v>
      </c>
      <c r="E7" s="53">
        <f>'DRE '!E10</f>
        <v>0</v>
      </c>
      <c r="F7" s="53">
        <f>'DRE '!F10</f>
        <v>0</v>
      </c>
      <c r="G7" s="54">
        <f>'DRE '!G10</f>
        <v>0</v>
      </c>
      <c r="H7" s="54">
        <f>'DRE '!H10</f>
        <v>0</v>
      </c>
      <c r="I7" s="54">
        <f>'DRE '!I10</f>
        <v>0</v>
      </c>
      <c r="J7" s="54">
        <f>'DRE '!J10</f>
        <v>0</v>
      </c>
      <c r="K7" s="54">
        <f>'DRE '!K10</f>
        <v>0</v>
      </c>
      <c r="L7" s="54">
        <f>'DRE '!L10</f>
        <v>0</v>
      </c>
      <c r="M7" s="54">
        <f>'DRE '!M10</f>
        <v>0</v>
      </c>
      <c r="N7" s="54">
        <f>'DRE '!N10</f>
        <v>0</v>
      </c>
      <c r="O7" s="54">
        <f>'DRE '!O10</f>
        <v>0</v>
      </c>
      <c r="P7" s="54">
        <f>'DRE '!P10</f>
        <v>0</v>
      </c>
      <c r="Q7" s="54">
        <f>'DRE '!Q10</f>
        <v>0</v>
      </c>
      <c r="R7" s="54">
        <f>'DRE '!R10</f>
        <v>0</v>
      </c>
      <c r="S7" s="54">
        <f>'DRE '!S10</f>
        <v>0</v>
      </c>
      <c r="T7" s="54">
        <f>'DRE '!T10</f>
        <v>0</v>
      </c>
      <c r="U7" s="54">
        <f>'DRE '!U10</f>
        <v>0</v>
      </c>
      <c r="V7" s="54">
        <f>'DRE '!V10</f>
        <v>0</v>
      </c>
      <c r="W7" s="54">
        <f>'DRE '!W10</f>
        <v>0</v>
      </c>
      <c r="X7" s="54">
        <f>'DRE '!X10</f>
        <v>0</v>
      </c>
      <c r="Y7" s="54">
        <f>'DRE '!Y10</f>
        <v>0</v>
      </c>
      <c r="Z7" s="54">
        <f>'DRE '!Z10</f>
        <v>0</v>
      </c>
      <c r="AA7" s="54">
        <f>'DRE '!AA10</f>
        <v>0</v>
      </c>
      <c r="AB7" s="54">
        <f>'DRE '!AB10</f>
        <v>0</v>
      </c>
      <c r="AC7" s="54">
        <f>'DRE '!AC10</f>
        <v>0</v>
      </c>
      <c r="AD7" s="54">
        <f>'DRE '!AD10</f>
        <v>0</v>
      </c>
      <c r="AE7" s="54">
        <f>'DRE '!AE10</f>
        <v>0</v>
      </c>
      <c r="AF7" s="54">
        <f>'DRE '!AF10</f>
        <v>0</v>
      </c>
      <c r="AG7" s="54">
        <f>'DRE '!AG10</f>
        <v>0</v>
      </c>
      <c r="AH7" s="54">
        <f>'DRE '!AH10</f>
        <v>0</v>
      </c>
      <c r="AI7" s="54">
        <f>'DRE '!AI10</f>
        <v>0</v>
      </c>
      <c r="AJ7" s="54">
        <f>'DRE '!AJ10</f>
        <v>0</v>
      </c>
      <c r="AK7" s="54">
        <f>'DRE '!AK10</f>
        <v>0</v>
      </c>
      <c r="AL7" s="54">
        <f>'DRE '!AL10</f>
        <v>0</v>
      </c>
      <c r="AM7" s="54">
        <f>'DRE '!AM10</f>
        <v>0</v>
      </c>
      <c r="AN7" s="54">
        <f>'DRE '!AN10</f>
        <v>0</v>
      </c>
      <c r="AO7" s="54">
        <f>'DRE '!AO10</f>
        <v>0</v>
      </c>
      <c r="AP7" s="54">
        <f>'DRE '!AP10</f>
        <v>0</v>
      </c>
      <c r="AQ7" s="54">
        <f>'DRE '!AQ10</f>
        <v>0</v>
      </c>
      <c r="AR7" s="54">
        <f>'DRE '!AR10</f>
        <v>0</v>
      </c>
      <c r="AS7" s="54">
        <f>'DRE '!AS10</f>
        <v>0</v>
      </c>
      <c r="AT7" s="54">
        <f>'DRE '!AT10</f>
        <v>0</v>
      </c>
      <c r="AU7" s="54">
        <f>'DRE '!AU10</f>
        <v>0</v>
      </c>
      <c r="AV7" s="54">
        <f>'DRE '!AV10</f>
        <v>0</v>
      </c>
      <c r="AW7" s="55">
        <f>'DRE '!AW10</f>
        <v>0</v>
      </c>
      <c r="BC7" s="46"/>
    </row>
    <row r="8" spans="1:55" ht="15.75" customHeight="1" x14ac:dyDescent="0.2">
      <c r="A8" s="48" t="s">
        <v>10</v>
      </c>
      <c r="B8" s="53">
        <f>'DRE '!B11</f>
        <v>0</v>
      </c>
      <c r="C8" s="53">
        <f>'DRE '!C11</f>
        <v>0</v>
      </c>
      <c r="D8" s="53">
        <f>'DRE '!D11</f>
        <v>0</v>
      </c>
      <c r="E8" s="53">
        <f>'DRE '!E11</f>
        <v>0</v>
      </c>
      <c r="F8" s="53">
        <f>'DRE '!F11</f>
        <v>0</v>
      </c>
      <c r="G8" s="54">
        <f>'DRE '!G11</f>
        <v>0</v>
      </c>
      <c r="H8" s="54">
        <f>'DRE '!H11</f>
        <v>0</v>
      </c>
      <c r="I8" s="54">
        <f>'DRE '!I11</f>
        <v>0</v>
      </c>
      <c r="J8" s="54">
        <f>'DRE '!J11</f>
        <v>0</v>
      </c>
      <c r="K8" s="54">
        <f>'DRE '!K11</f>
        <v>0</v>
      </c>
      <c r="L8" s="54">
        <f>'DRE '!L11</f>
        <v>0</v>
      </c>
      <c r="M8" s="54">
        <f>'DRE '!M11</f>
        <v>0</v>
      </c>
      <c r="N8" s="54">
        <f>'DRE '!N11</f>
        <v>0</v>
      </c>
      <c r="O8" s="54">
        <f>'DRE '!O11</f>
        <v>0</v>
      </c>
      <c r="P8" s="54">
        <f>'DRE '!P11</f>
        <v>0</v>
      </c>
      <c r="Q8" s="54">
        <f>'DRE '!Q11</f>
        <v>0</v>
      </c>
      <c r="R8" s="54">
        <f>'DRE '!R11</f>
        <v>0</v>
      </c>
      <c r="S8" s="54">
        <f>'DRE '!S11</f>
        <v>0</v>
      </c>
      <c r="T8" s="54">
        <f>'DRE '!T11</f>
        <v>0</v>
      </c>
      <c r="U8" s="54">
        <f>'DRE '!U11</f>
        <v>0</v>
      </c>
      <c r="V8" s="54">
        <f>'DRE '!V11</f>
        <v>0</v>
      </c>
      <c r="W8" s="54">
        <f>'DRE '!W11</f>
        <v>0</v>
      </c>
      <c r="X8" s="54">
        <f>'DRE '!X11</f>
        <v>0</v>
      </c>
      <c r="Y8" s="54">
        <f>'DRE '!Y11</f>
        <v>0</v>
      </c>
      <c r="Z8" s="54">
        <f>'DRE '!Z11</f>
        <v>0</v>
      </c>
      <c r="AA8" s="54">
        <f>'DRE '!AA11</f>
        <v>0</v>
      </c>
      <c r="AB8" s="54">
        <f>'DRE '!AB11</f>
        <v>0</v>
      </c>
      <c r="AC8" s="54">
        <f>'DRE '!AC11</f>
        <v>0</v>
      </c>
      <c r="AD8" s="54">
        <f>'DRE '!AD11</f>
        <v>0</v>
      </c>
      <c r="AE8" s="54">
        <f>'DRE '!AE11</f>
        <v>0</v>
      </c>
      <c r="AF8" s="54">
        <f>'DRE '!AF11</f>
        <v>0</v>
      </c>
      <c r="AG8" s="54">
        <f>'DRE '!AG11</f>
        <v>0</v>
      </c>
      <c r="AH8" s="54">
        <f>'DRE '!AH11</f>
        <v>0</v>
      </c>
      <c r="AI8" s="54">
        <f>'DRE '!AI11</f>
        <v>0</v>
      </c>
      <c r="AJ8" s="54">
        <f>'DRE '!AJ11</f>
        <v>0</v>
      </c>
      <c r="AK8" s="54">
        <f>'DRE '!AK11</f>
        <v>0</v>
      </c>
      <c r="AL8" s="54">
        <f>'DRE '!AL11</f>
        <v>0</v>
      </c>
      <c r="AM8" s="54">
        <f>'DRE '!AM11</f>
        <v>0</v>
      </c>
      <c r="AN8" s="54">
        <f>'DRE '!AN11</f>
        <v>0</v>
      </c>
      <c r="AO8" s="54">
        <f>'DRE '!AO11</f>
        <v>0</v>
      </c>
      <c r="AP8" s="54">
        <f>'DRE '!AP11</f>
        <v>0</v>
      </c>
      <c r="AQ8" s="54">
        <f>'DRE '!AQ11</f>
        <v>0</v>
      </c>
      <c r="AR8" s="54">
        <f>'DRE '!AR11</f>
        <v>0</v>
      </c>
      <c r="AS8" s="54">
        <f>'DRE '!AS11</f>
        <v>0</v>
      </c>
      <c r="AT8" s="54">
        <f>'DRE '!AT11</f>
        <v>0</v>
      </c>
      <c r="AU8" s="54">
        <f>'DRE '!AU11</f>
        <v>0</v>
      </c>
      <c r="AV8" s="54">
        <f>'DRE '!AV11</f>
        <v>0</v>
      </c>
      <c r="AW8" s="55">
        <f>'DRE '!AW11</f>
        <v>0</v>
      </c>
      <c r="BC8" s="46"/>
    </row>
    <row r="9" spans="1:55" ht="15.75" customHeight="1" x14ac:dyDescent="0.2">
      <c r="A9" s="56" t="s">
        <v>11</v>
      </c>
      <c r="B9" s="53">
        <f>'DRE '!B12</f>
        <v>0</v>
      </c>
      <c r="C9" s="53">
        <f>'DRE '!C12</f>
        <v>0</v>
      </c>
      <c r="D9" s="53">
        <f>'DRE '!D12</f>
        <v>0</v>
      </c>
      <c r="E9" s="53">
        <f>'DRE '!E12</f>
        <v>0</v>
      </c>
      <c r="F9" s="53">
        <f>'DRE '!F12</f>
        <v>0</v>
      </c>
      <c r="G9" s="54">
        <f>'DRE '!G12</f>
        <v>0</v>
      </c>
      <c r="H9" s="54">
        <f>'DRE '!H12</f>
        <v>0</v>
      </c>
      <c r="I9" s="54">
        <f>'DRE '!I12</f>
        <v>0</v>
      </c>
      <c r="J9" s="54">
        <f>'DRE '!J12</f>
        <v>0</v>
      </c>
      <c r="K9" s="54">
        <f>'DRE '!K12</f>
        <v>0</v>
      </c>
      <c r="L9" s="54">
        <f>'DRE '!L12</f>
        <v>0</v>
      </c>
      <c r="M9" s="54">
        <f>'DRE '!M12</f>
        <v>0</v>
      </c>
      <c r="N9" s="54">
        <f>'DRE '!N12</f>
        <v>0</v>
      </c>
      <c r="O9" s="54">
        <f>'DRE '!O12</f>
        <v>0</v>
      </c>
      <c r="P9" s="54">
        <f>'DRE '!P12</f>
        <v>0</v>
      </c>
      <c r="Q9" s="54">
        <f>'DRE '!Q12</f>
        <v>0</v>
      </c>
      <c r="R9" s="54">
        <f>'DRE '!R12</f>
        <v>0</v>
      </c>
      <c r="S9" s="54">
        <f>'DRE '!S12</f>
        <v>0</v>
      </c>
      <c r="T9" s="54">
        <f>'DRE '!T12</f>
        <v>0</v>
      </c>
      <c r="U9" s="54">
        <f>'DRE '!U12</f>
        <v>0</v>
      </c>
      <c r="V9" s="54">
        <f>'DRE '!V12</f>
        <v>0</v>
      </c>
      <c r="W9" s="54">
        <f>'DRE '!W12</f>
        <v>0</v>
      </c>
      <c r="X9" s="54">
        <f>'DRE '!X12</f>
        <v>0</v>
      </c>
      <c r="Y9" s="54">
        <f>'DRE '!Y12</f>
        <v>0</v>
      </c>
      <c r="Z9" s="54">
        <f>'DRE '!Z12</f>
        <v>0</v>
      </c>
      <c r="AA9" s="54">
        <f>'DRE '!AA12</f>
        <v>0</v>
      </c>
      <c r="AB9" s="54">
        <f>'DRE '!AB12</f>
        <v>0</v>
      </c>
      <c r="AC9" s="54">
        <f>'DRE '!AC12</f>
        <v>0</v>
      </c>
      <c r="AD9" s="54">
        <f>'DRE '!AD12</f>
        <v>0</v>
      </c>
      <c r="AE9" s="54">
        <f>'DRE '!AE12</f>
        <v>0</v>
      </c>
      <c r="AF9" s="54">
        <f>'DRE '!AF12</f>
        <v>0</v>
      </c>
      <c r="AG9" s="54">
        <f>'DRE '!AG12</f>
        <v>0</v>
      </c>
      <c r="AH9" s="54">
        <f>'DRE '!AH12</f>
        <v>0</v>
      </c>
      <c r="AI9" s="54">
        <f>'DRE '!AI12</f>
        <v>0</v>
      </c>
      <c r="AJ9" s="54">
        <f>'DRE '!AJ12</f>
        <v>0</v>
      </c>
      <c r="AK9" s="54">
        <f>'DRE '!AK12</f>
        <v>0</v>
      </c>
      <c r="AL9" s="54">
        <f>'DRE '!AL12</f>
        <v>0</v>
      </c>
      <c r="AM9" s="54">
        <f>'DRE '!AM12</f>
        <v>0</v>
      </c>
      <c r="AN9" s="54">
        <f>'DRE '!AN12</f>
        <v>0</v>
      </c>
      <c r="AO9" s="54">
        <f>'DRE '!AO12</f>
        <v>0</v>
      </c>
      <c r="AP9" s="54">
        <f>'DRE '!AP12</f>
        <v>0</v>
      </c>
      <c r="AQ9" s="54">
        <f>'DRE '!AQ12</f>
        <v>0</v>
      </c>
      <c r="AR9" s="54">
        <f>'DRE '!AR12</f>
        <v>0</v>
      </c>
      <c r="AS9" s="54">
        <f>'DRE '!AS12</f>
        <v>0</v>
      </c>
      <c r="AT9" s="54">
        <f>'DRE '!AT12</f>
        <v>0</v>
      </c>
      <c r="AU9" s="54">
        <f>'DRE '!AU12</f>
        <v>0</v>
      </c>
      <c r="AV9" s="54">
        <f>'DRE '!AV12</f>
        <v>0</v>
      </c>
      <c r="AW9" s="55">
        <f>'DRE '!AW12</f>
        <v>0</v>
      </c>
      <c r="BC9" s="46"/>
    </row>
    <row r="10" spans="1:55" ht="15.75" customHeight="1" x14ac:dyDescent="0.2">
      <c r="A10" s="57" t="s">
        <v>12</v>
      </c>
      <c r="B10" s="51">
        <f>'DRE '!B13</f>
        <v>0</v>
      </c>
      <c r="C10" s="51">
        <f>'DRE '!C13</f>
        <v>0</v>
      </c>
      <c r="D10" s="51">
        <f>'DRE '!D13</f>
        <v>0</v>
      </c>
      <c r="E10" s="51">
        <f>'DRE '!E13</f>
        <v>0</v>
      </c>
      <c r="F10" s="51">
        <f>'DRE '!F13</f>
        <v>0</v>
      </c>
      <c r="G10" s="51">
        <f>'DRE '!G13</f>
        <v>0</v>
      </c>
      <c r="H10" s="51">
        <f>'DRE '!H13</f>
        <v>0</v>
      </c>
      <c r="I10" s="51">
        <f>'DRE '!I13</f>
        <v>0</v>
      </c>
      <c r="J10" s="51">
        <f>'DRE '!J13</f>
        <v>0</v>
      </c>
      <c r="K10" s="51">
        <f>'DRE '!K13</f>
        <v>0</v>
      </c>
      <c r="L10" s="51">
        <f>'DRE '!L13</f>
        <v>0</v>
      </c>
      <c r="M10" s="51">
        <f>'DRE '!M13</f>
        <v>0</v>
      </c>
      <c r="N10" s="51">
        <f>'DRE '!N13</f>
        <v>0</v>
      </c>
      <c r="O10" s="51">
        <f>'DRE '!O13</f>
        <v>0</v>
      </c>
      <c r="P10" s="51">
        <f>'DRE '!P13</f>
        <v>0</v>
      </c>
      <c r="Q10" s="51">
        <f>'DRE '!Q13</f>
        <v>0</v>
      </c>
      <c r="R10" s="51">
        <f>'DRE '!R13</f>
        <v>0</v>
      </c>
      <c r="S10" s="51">
        <f>'DRE '!S13</f>
        <v>0</v>
      </c>
      <c r="T10" s="51">
        <f>'DRE '!T13</f>
        <v>0</v>
      </c>
      <c r="U10" s="51">
        <f>'DRE '!U13</f>
        <v>0</v>
      </c>
      <c r="V10" s="51">
        <f>'DRE '!V13</f>
        <v>0</v>
      </c>
      <c r="W10" s="51">
        <f>'DRE '!W13</f>
        <v>0</v>
      </c>
      <c r="X10" s="51">
        <f>'DRE '!X13</f>
        <v>0</v>
      </c>
      <c r="Y10" s="51">
        <f>'DRE '!Y13</f>
        <v>0</v>
      </c>
      <c r="Z10" s="51">
        <f>'DRE '!Z13</f>
        <v>0</v>
      </c>
      <c r="AA10" s="51">
        <f>'DRE '!AA13</f>
        <v>0</v>
      </c>
      <c r="AB10" s="51">
        <f>'DRE '!AB13</f>
        <v>0</v>
      </c>
      <c r="AC10" s="51">
        <f>'DRE '!AC13</f>
        <v>0</v>
      </c>
      <c r="AD10" s="51">
        <f>'DRE '!AD13</f>
        <v>0</v>
      </c>
      <c r="AE10" s="51">
        <f>'DRE '!AE13</f>
        <v>0</v>
      </c>
      <c r="AF10" s="51">
        <f>'DRE '!AF13</f>
        <v>0</v>
      </c>
      <c r="AG10" s="51">
        <f>'DRE '!AG13</f>
        <v>0</v>
      </c>
      <c r="AH10" s="51">
        <f>'DRE '!AH13</f>
        <v>0</v>
      </c>
      <c r="AI10" s="51">
        <f>'DRE '!AI13</f>
        <v>0</v>
      </c>
      <c r="AJ10" s="51">
        <f>'DRE '!AJ13</f>
        <v>0</v>
      </c>
      <c r="AK10" s="51">
        <f>'DRE '!AK13</f>
        <v>0</v>
      </c>
      <c r="AL10" s="51">
        <f>'DRE '!AL13</f>
        <v>0</v>
      </c>
      <c r="AM10" s="51">
        <f>'DRE '!AM13</f>
        <v>0</v>
      </c>
      <c r="AN10" s="51">
        <f>'DRE '!AN13</f>
        <v>0</v>
      </c>
      <c r="AO10" s="51">
        <f>'DRE '!AO13</f>
        <v>0</v>
      </c>
      <c r="AP10" s="51">
        <f>'DRE '!AP13</f>
        <v>0</v>
      </c>
      <c r="AQ10" s="51">
        <f>'DRE '!AQ13</f>
        <v>0</v>
      </c>
      <c r="AR10" s="51">
        <f>'DRE '!AR13</f>
        <v>0</v>
      </c>
      <c r="AS10" s="51">
        <f>'DRE '!AS13</f>
        <v>0</v>
      </c>
      <c r="AT10" s="51">
        <f>'DRE '!AT13</f>
        <v>0</v>
      </c>
      <c r="AU10" s="51">
        <f>'DRE '!AU13</f>
        <v>0</v>
      </c>
      <c r="AV10" s="51">
        <f>'DRE '!AV13</f>
        <v>0</v>
      </c>
      <c r="AW10" s="52">
        <f>'DRE '!AW13</f>
        <v>0</v>
      </c>
      <c r="BC10" s="46"/>
    </row>
    <row r="11" spans="1:55" ht="15.75" customHeight="1" x14ac:dyDescent="0.2">
      <c r="A11" s="50" t="s">
        <v>13</v>
      </c>
      <c r="B11" s="53">
        <f>'DRE '!B15</f>
        <v>0</v>
      </c>
      <c r="C11" s="53">
        <f>'DRE '!C15</f>
        <v>0</v>
      </c>
      <c r="D11" s="53">
        <f>'DRE '!D15</f>
        <v>0</v>
      </c>
      <c r="E11" s="53">
        <f>'DRE '!E15</f>
        <v>0</v>
      </c>
      <c r="F11" s="53">
        <f>'DRE '!F15</f>
        <v>0</v>
      </c>
      <c r="G11" s="54">
        <f>'DRE '!G15</f>
        <v>0</v>
      </c>
      <c r="H11" s="54">
        <f>'DRE '!H15</f>
        <v>0</v>
      </c>
      <c r="I11" s="54">
        <f>'DRE '!I15</f>
        <v>0</v>
      </c>
      <c r="J11" s="54">
        <f>'DRE '!J15</f>
        <v>0</v>
      </c>
      <c r="K11" s="54">
        <f>'DRE '!K15</f>
        <v>0</v>
      </c>
      <c r="L11" s="54">
        <f>'DRE '!L15</f>
        <v>0</v>
      </c>
      <c r="M11" s="54">
        <f>'DRE '!M15</f>
        <v>0</v>
      </c>
      <c r="N11" s="54">
        <f>'DRE '!N15</f>
        <v>0</v>
      </c>
      <c r="O11" s="54">
        <f>'DRE '!O15</f>
        <v>0</v>
      </c>
      <c r="P11" s="54">
        <f>'DRE '!P15</f>
        <v>0</v>
      </c>
      <c r="Q11" s="54">
        <f>'DRE '!Q15</f>
        <v>0</v>
      </c>
      <c r="R11" s="54">
        <f>'DRE '!R15</f>
        <v>0</v>
      </c>
      <c r="S11" s="54">
        <f>'DRE '!S15</f>
        <v>0</v>
      </c>
      <c r="T11" s="54">
        <f>'DRE '!T15</f>
        <v>0</v>
      </c>
      <c r="U11" s="54">
        <f>'DRE '!U15</f>
        <v>0</v>
      </c>
      <c r="V11" s="54">
        <f>'DRE '!V15</f>
        <v>0</v>
      </c>
      <c r="W11" s="54">
        <f>'DRE '!W15</f>
        <v>0</v>
      </c>
      <c r="X11" s="54">
        <f>'DRE '!X15</f>
        <v>0</v>
      </c>
      <c r="Y11" s="54">
        <f>'DRE '!Y15</f>
        <v>0</v>
      </c>
      <c r="Z11" s="54">
        <f>'DRE '!Z15</f>
        <v>0</v>
      </c>
      <c r="AA11" s="54">
        <f>'DRE '!AA15</f>
        <v>0</v>
      </c>
      <c r="AB11" s="54">
        <f>'DRE '!AB15</f>
        <v>0</v>
      </c>
      <c r="AC11" s="54">
        <f>'DRE '!AC15</f>
        <v>0</v>
      </c>
      <c r="AD11" s="54">
        <f>'DRE '!AD15</f>
        <v>0</v>
      </c>
      <c r="AE11" s="54">
        <f>'DRE '!AE15</f>
        <v>0</v>
      </c>
      <c r="AF11" s="54">
        <f>'DRE '!AF15</f>
        <v>0</v>
      </c>
      <c r="AG11" s="54">
        <f>'DRE '!AG15</f>
        <v>0</v>
      </c>
      <c r="AH11" s="54">
        <f>'DRE '!AH15</f>
        <v>0</v>
      </c>
      <c r="AI11" s="54">
        <f>'DRE '!AI15</f>
        <v>0</v>
      </c>
      <c r="AJ11" s="54">
        <f>'DRE '!AJ15</f>
        <v>0</v>
      </c>
      <c r="AK11" s="54">
        <f>'DRE '!AK15</f>
        <v>0</v>
      </c>
      <c r="AL11" s="54">
        <f>'DRE '!AL15</f>
        <v>0</v>
      </c>
      <c r="AM11" s="54">
        <f>'DRE '!AM15</f>
        <v>0</v>
      </c>
      <c r="AN11" s="54">
        <f>'DRE '!AN15</f>
        <v>0</v>
      </c>
      <c r="AO11" s="54">
        <f>'DRE '!AO15</f>
        <v>0</v>
      </c>
      <c r="AP11" s="54">
        <f>'DRE '!AP15</f>
        <v>0</v>
      </c>
      <c r="AQ11" s="54">
        <f>'DRE '!AQ15</f>
        <v>0</v>
      </c>
      <c r="AR11" s="54">
        <f>'DRE '!AR15</f>
        <v>0</v>
      </c>
      <c r="AS11" s="54">
        <f>'DRE '!AS15</f>
        <v>0</v>
      </c>
      <c r="AT11" s="54">
        <f>'DRE '!AT15</f>
        <v>0</v>
      </c>
      <c r="AU11" s="54">
        <f>'DRE '!AU15</f>
        <v>0</v>
      </c>
      <c r="AV11" s="54">
        <f>'DRE '!AV15</f>
        <v>0</v>
      </c>
      <c r="AW11" s="55">
        <f>'DRE '!AW15</f>
        <v>0</v>
      </c>
      <c r="BC11" s="46"/>
    </row>
    <row r="12" spans="1:55" ht="15.75" customHeight="1" x14ac:dyDescent="0.2">
      <c r="A12" s="48" t="s">
        <v>14</v>
      </c>
      <c r="B12" s="53">
        <f>'DRE '!B16</f>
        <v>0</v>
      </c>
      <c r="C12" s="53">
        <f>'DRE '!C16</f>
        <v>0</v>
      </c>
      <c r="D12" s="53">
        <f>'DRE '!D16</f>
        <v>0</v>
      </c>
      <c r="E12" s="53">
        <f>'DRE '!E16</f>
        <v>0</v>
      </c>
      <c r="F12" s="53">
        <f>'DRE '!F16</f>
        <v>0</v>
      </c>
      <c r="G12" s="54">
        <f>'DRE '!G16</f>
        <v>0</v>
      </c>
      <c r="H12" s="54">
        <f>'DRE '!H16</f>
        <v>0</v>
      </c>
      <c r="I12" s="54">
        <f>'DRE '!I16</f>
        <v>0</v>
      </c>
      <c r="J12" s="54">
        <f>'DRE '!J16</f>
        <v>0</v>
      </c>
      <c r="K12" s="54">
        <f>'DRE '!K16</f>
        <v>0</v>
      </c>
      <c r="L12" s="54">
        <f>'DRE '!L16</f>
        <v>0</v>
      </c>
      <c r="M12" s="54">
        <f>'DRE '!M16</f>
        <v>0</v>
      </c>
      <c r="N12" s="54">
        <f>'DRE '!N16</f>
        <v>0</v>
      </c>
      <c r="O12" s="54">
        <f>'DRE '!O16</f>
        <v>0</v>
      </c>
      <c r="P12" s="54">
        <f>'DRE '!P16</f>
        <v>0</v>
      </c>
      <c r="Q12" s="54">
        <f>'DRE '!Q16</f>
        <v>0</v>
      </c>
      <c r="R12" s="54">
        <f>'DRE '!R16</f>
        <v>0</v>
      </c>
      <c r="S12" s="54">
        <f>'DRE '!S16</f>
        <v>0</v>
      </c>
      <c r="T12" s="54">
        <f>'DRE '!T16</f>
        <v>0</v>
      </c>
      <c r="U12" s="54">
        <f>'DRE '!U16</f>
        <v>0</v>
      </c>
      <c r="V12" s="54">
        <f>'DRE '!V16</f>
        <v>0</v>
      </c>
      <c r="W12" s="54">
        <f>'DRE '!W16</f>
        <v>0</v>
      </c>
      <c r="X12" s="54">
        <f>'DRE '!X16</f>
        <v>0</v>
      </c>
      <c r="Y12" s="54">
        <f>'DRE '!Y16</f>
        <v>0</v>
      </c>
      <c r="Z12" s="54">
        <f>'DRE '!Z16</f>
        <v>0</v>
      </c>
      <c r="AA12" s="54">
        <f>'DRE '!AA16</f>
        <v>0</v>
      </c>
      <c r="AB12" s="54">
        <f>'DRE '!AB16</f>
        <v>0</v>
      </c>
      <c r="AC12" s="54">
        <f>'DRE '!AC16</f>
        <v>0</v>
      </c>
      <c r="AD12" s="54">
        <f>'DRE '!AD16</f>
        <v>0</v>
      </c>
      <c r="AE12" s="54">
        <f>'DRE '!AE16</f>
        <v>0</v>
      </c>
      <c r="AF12" s="54">
        <f>'DRE '!AF16</f>
        <v>0</v>
      </c>
      <c r="AG12" s="54">
        <f>'DRE '!AG16</f>
        <v>0</v>
      </c>
      <c r="AH12" s="54">
        <f>'DRE '!AH16</f>
        <v>0</v>
      </c>
      <c r="AI12" s="54">
        <f>'DRE '!AI16</f>
        <v>0</v>
      </c>
      <c r="AJ12" s="54">
        <f>'DRE '!AJ16</f>
        <v>0</v>
      </c>
      <c r="AK12" s="54">
        <f>'DRE '!AK16</f>
        <v>0</v>
      </c>
      <c r="AL12" s="54">
        <f>'DRE '!AL16</f>
        <v>0</v>
      </c>
      <c r="AM12" s="54">
        <f>'DRE '!AM16</f>
        <v>0</v>
      </c>
      <c r="AN12" s="54">
        <f>'DRE '!AN16</f>
        <v>0</v>
      </c>
      <c r="AO12" s="54">
        <f>'DRE '!AO16</f>
        <v>0</v>
      </c>
      <c r="AP12" s="54">
        <f>'DRE '!AP16</f>
        <v>0</v>
      </c>
      <c r="AQ12" s="54">
        <f>'DRE '!AQ16</f>
        <v>0</v>
      </c>
      <c r="AR12" s="54">
        <f>'DRE '!AR16</f>
        <v>0</v>
      </c>
      <c r="AS12" s="54">
        <f>'DRE '!AS16</f>
        <v>0</v>
      </c>
      <c r="AT12" s="54">
        <f>'DRE '!AT16</f>
        <v>0</v>
      </c>
      <c r="AU12" s="54">
        <f>'DRE '!AU16</f>
        <v>0</v>
      </c>
      <c r="AV12" s="54">
        <f>'DRE '!AV16</f>
        <v>0</v>
      </c>
      <c r="AW12" s="55">
        <f>'DRE '!AW16</f>
        <v>0</v>
      </c>
      <c r="BC12" s="46"/>
    </row>
    <row r="13" spans="1:55" ht="15.75" customHeight="1" x14ac:dyDescent="0.2">
      <c r="A13" s="56" t="s">
        <v>15</v>
      </c>
      <c r="B13" s="53">
        <f>'DRE '!B17</f>
        <v>0</v>
      </c>
      <c r="C13" s="53">
        <f>'DRE '!C17</f>
        <v>0</v>
      </c>
      <c r="D13" s="53">
        <f>'DRE '!D17</f>
        <v>0</v>
      </c>
      <c r="E13" s="53">
        <f>'DRE '!E17</f>
        <v>0</v>
      </c>
      <c r="F13" s="53">
        <f>'DRE '!F17</f>
        <v>0</v>
      </c>
      <c r="G13" s="54">
        <f>'DRE '!G17</f>
        <v>0</v>
      </c>
      <c r="H13" s="54">
        <f>'DRE '!H17</f>
        <v>0</v>
      </c>
      <c r="I13" s="54">
        <f>'DRE '!I17</f>
        <v>0</v>
      </c>
      <c r="J13" s="54">
        <f>'DRE '!J17</f>
        <v>0</v>
      </c>
      <c r="K13" s="54">
        <f>'DRE '!K17</f>
        <v>0</v>
      </c>
      <c r="L13" s="54">
        <f>'DRE '!L17</f>
        <v>0</v>
      </c>
      <c r="M13" s="54">
        <f>'DRE '!M17</f>
        <v>0</v>
      </c>
      <c r="N13" s="54">
        <f>'DRE '!N17</f>
        <v>0</v>
      </c>
      <c r="O13" s="54">
        <f>'DRE '!O17</f>
        <v>0</v>
      </c>
      <c r="P13" s="54">
        <f>'DRE '!P17</f>
        <v>0</v>
      </c>
      <c r="Q13" s="54">
        <f>'DRE '!Q17</f>
        <v>0</v>
      </c>
      <c r="R13" s="54">
        <f>'DRE '!R17</f>
        <v>0</v>
      </c>
      <c r="S13" s="54">
        <f>'DRE '!S17</f>
        <v>0</v>
      </c>
      <c r="T13" s="54">
        <f>'DRE '!T17</f>
        <v>0</v>
      </c>
      <c r="U13" s="54">
        <f>'DRE '!U17</f>
        <v>0</v>
      </c>
      <c r="V13" s="54">
        <f>'DRE '!V17</f>
        <v>0</v>
      </c>
      <c r="W13" s="54">
        <f>'DRE '!W17</f>
        <v>0</v>
      </c>
      <c r="X13" s="54">
        <f>'DRE '!X17</f>
        <v>0</v>
      </c>
      <c r="Y13" s="54">
        <f>'DRE '!Y17</f>
        <v>0</v>
      </c>
      <c r="Z13" s="54">
        <f>'DRE '!Z17</f>
        <v>0</v>
      </c>
      <c r="AA13" s="54">
        <f>'DRE '!AA17</f>
        <v>0</v>
      </c>
      <c r="AB13" s="54">
        <f>'DRE '!AB17</f>
        <v>0</v>
      </c>
      <c r="AC13" s="54">
        <f>'DRE '!AC17</f>
        <v>0</v>
      </c>
      <c r="AD13" s="54">
        <f>'DRE '!AD17</f>
        <v>0</v>
      </c>
      <c r="AE13" s="54">
        <f>'DRE '!AE17</f>
        <v>0</v>
      </c>
      <c r="AF13" s="54">
        <f>'DRE '!AF17</f>
        <v>0</v>
      </c>
      <c r="AG13" s="54">
        <f>'DRE '!AG17</f>
        <v>0</v>
      </c>
      <c r="AH13" s="54">
        <f>'DRE '!AH17</f>
        <v>0</v>
      </c>
      <c r="AI13" s="54">
        <f>'DRE '!AI17</f>
        <v>0</v>
      </c>
      <c r="AJ13" s="54">
        <f>'DRE '!AJ17</f>
        <v>0</v>
      </c>
      <c r="AK13" s="54">
        <f>'DRE '!AK17</f>
        <v>0</v>
      </c>
      <c r="AL13" s="54">
        <f>'DRE '!AL17</f>
        <v>0</v>
      </c>
      <c r="AM13" s="54">
        <f>'DRE '!AM17</f>
        <v>0</v>
      </c>
      <c r="AN13" s="54">
        <f>'DRE '!AN17</f>
        <v>0</v>
      </c>
      <c r="AO13" s="54">
        <f>'DRE '!AO17</f>
        <v>0</v>
      </c>
      <c r="AP13" s="54">
        <f>'DRE '!AP17</f>
        <v>0</v>
      </c>
      <c r="AQ13" s="54">
        <f>'DRE '!AQ17</f>
        <v>0</v>
      </c>
      <c r="AR13" s="54">
        <f>'DRE '!AR17</f>
        <v>0</v>
      </c>
      <c r="AS13" s="54">
        <f>'DRE '!AS17</f>
        <v>0</v>
      </c>
      <c r="AT13" s="54">
        <f>'DRE '!AT17</f>
        <v>0</v>
      </c>
      <c r="AU13" s="54">
        <f>'DRE '!AU17</f>
        <v>0</v>
      </c>
      <c r="AV13" s="54">
        <f>'DRE '!AV17</f>
        <v>0</v>
      </c>
      <c r="AW13" s="55">
        <f>'DRE '!AW17</f>
        <v>0</v>
      </c>
      <c r="BC13" s="46"/>
    </row>
    <row r="14" spans="1:55" ht="15.75" customHeight="1" x14ac:dyDescent="0.2">
      <c r="A14" s="48" t="s">
        <v>16</v>
      </c>
      <c r="B14" s="53">
        <f>'DRE '!B18</f>
        <v>0</v>
      </c>
      <c r="C14" s="53">
        <f>'DRE '!C18</f>
        <v>0</v>
      </c>
      <c r="D14" s="53">
        <f>'DRE '!D18</f>
        <v>0</v>
      </c>
      <c r="E14" s="53">
        <f>'DRE '!E18</f>
        <v>0</v>
      </c>
      <c r="F14" s="53">
        <f>'DRE '!F18</f>
        <v>0</v>
      </c>
      <c r="G14" s="54">
        <f>'DRE '!G18</f>
        <v>0</v>
      </c>
      <c r="H14" s="54">
        <f>'DRE '!H18</f>
        <v>0</v>
      </c>
      <c r="I14" s="54">
        <f>'DRE '!I18</f>
        <v>0</v>
      </c>
      <c r="J14" s="54">
        <f>'DRE '!J18</f>
        <v>0</v>
      </c>
      <c r="K14" s="54">
        <f>'DRE '!K18</f>
        <v>0</v>
      </c>
      <c r="L14" s="54">
        <f>'DRE '!L18</f>
        <v>0</v>
      </c>
      <c r="M14" s="54">
        <f>'DRE '!M18</f>
        <v>0</v>
      </c>
      <c r="N14" s="54">
        <f>'DRE '!N18</f>
        <v>0</v>
      </c>
      <c r="O14" s="54">
        <f>'DRE '!O18</f>
        <v>0</v>
      </c>
      <c r="P14" s="54">
        <f>'DRE '!P18</f>
        <v>0</v>
      </c>
      <c r="Q14" s="54">
        <f>'DRE '!Q18</f>
        <v>0</v>
      </c>
      <c r="R14" s="54">
        <f>'DRE '!R18</f>
        <v>0</v>
      </c>
      <c r="S14" s="54">
        <f>'DRE '!S18</f>
        <v>0</v>
      </c>
      <c r="T14" s="54">
        <f>'DRE '!T18</f>
        <v>0</v>
      </c>
      <c r="U14" s="54">
        <f>'DRE '!U18</f>
        <v>0</v>
      </c>
      <c r="V14" s="54">
        <f>'DRE '!V18</f>
        <v>0</v>
      </c>
      <c r="W14" s="54">
        <f>'DRE '!W18</f>
        <v>0</v>
      </c>
      <c r="X14" s="54">
        <f>'DRE '!X18</f>
        <v>0</v>
      </c>
      <c r="Y14" s="54">
        <f>'DRE '!Y18</f>
        <v>0</v>
      </c>
      <c r="Z14" s="54">
        <f>'DRE '!Z18</f>
        <v>0</v>
      </c>
      <c r="AA14" s="54">
        <f>'DRE '!AA18</f>
        <v>0</v>
      </c>
      <c r="AB14" s="54">
        <f>'DRE '!AB18</f>
        <v>0</v>
      </c>
      <c r="AC14" s="54">
        <f>'DRE '!AC18</f>
        <v>0</v>
      </c>
      <c r="AD14" s="54">
        <f>'DRE '!AD18</f>
        <v>0</v>
      </c>
      <c r="AE14" s="54">
        <f>'DRE '!AE18</f>
        <v>0</v>
      </c>
      <c r="AF14" s="54">
        <f>'DRE '!AF18</f>
        <v>0</v>
      </c>
      <c r="AG14" s="54">
        <f>'DRE '!AG18</f>
        <v>0</v>
      </c>
      <c r="AH14" s="54">
        <f>'DRE '!AH18</f>
        <v>0</v>
      </c>
      <c r="AI14" s="54">
        <f>'DRE '!AI18</f>
        <v>0</v>
      </c>
      <c r="AJ14" s="54">
        <f>'DRE '!AJ18</f>
        <v>0</v>
      </c>
      <c r="AK14" s="54">
        <f>'DRE '!AK18</f>
        <v>0</v>
      </c>
      <c r="AL14" s="54">
        <f>'DRE '!AL18</f>
        <v>0</v>
      </c>
      <c r="AM14" s="54">
        <f>'DRE '!AM18</f>
        <v>0</v>
      </c>
      <c r="AN14" s="54">
        <f>'DRE '!AN18</f>
        <v>0</v>
      </c>
      <c r="AO14" s="54">
        <f>'DRE '!AO18</f>
        <v>0</v>
      </c>
      <c r="AP14" s="54">
        <f>'DRE '!AP18</f>
        <v>0</v>
      </c>
      <c r="AQ14" s="54">
        <f>'DRE '!AQ18</f>
        <v>0</v>
      </c>
      <c r="AR14" s="54">
        <f>'DRE '!AR18</f>
        <v>0</v>
      </c>
      <c r="AS14" s="54">
        <f>'DRE '!AS18</f>
        <v>0</v>
      </c>
      <c r="AT14" s="54">
        <f>'DRE '!AT18</f>
        <v>0</v>
      </c>
      <c r="AU14" s="54">
        <f>'DRE '!AU18</f>
        <v>0</v>
      </c>
      <c r="AV14" s="54">
        <f>'DRE '!AV18</f>
        <v>0</v>
      </c>
      <c r="AW14" s="55">
        <f>'DRE '!AW18</f>
        <v>0</v>
      </c>
      <c r="BC14" s="46"/>
    </row>
    <row r="15" spans="1:55" ht="15.75" customHeight="1" x14ac:dyDescent="0.2">
      <c r="A15" s="56" t="s">
        <v>17</v>
      </c>
      <c r="B15" s="53">
        <f>'DRE '!B19</f>
        <v>0</v>
      </c>
      <c r="C15" s="53">
        <f>'DRE '!C19</f>
        <v>0</v>
      </c>
      <c r="D15" s="53">
        <f>'DRE '!D19</f>
        <v>0</v>
      </c>
      <c r="E15" s="53">
        <f>'DRE '!E19</f>
        <v>0</v>
      </c>
      <c r="F15" s="53">
        <f>'DRE '!F19</f>
        <v>0</v>
      </c>
      <c r="G15" s="54">
        <f>'DRE '!G19</f>
        <v>0</v>
      </c>
      <c r="H15" s="54">
        <f>'DRE '!H19</f>
        <v>0</v>
      </c>
      <c r="I15" s="54">
        <f>'DRE '!I19</f>
        <v>0</v>
      </c>
      <c r="J15" s="54">
        <f>'DRE '!J19</f>
        <v>0</v>
      </c>
      <c r="K15" s="54">
        <f>'DRE '!K19</f>
        <v>0</v>
      </c>
      <c r="L15" s="54">
        <f>'DRE '!L19</f>
        <v>0</v>
      </c>
      <c r="M15" s="54">
        <f>'DRE '!M19</f>
        <v>0</v>
      </c>
      <c r="N15" s="54">
        <f>'DRE '!N19</f>
        <v>0</v>
      </c>
      <c r="O15" s="54">
        <f>'DRE '!O19</f>
        <v>0</v>
      </c>
      <c r="P15" s="54">
        <f>'DRE '!P19</f>
        <v>0</v>
      </c>
      <c r="Q15" s="54">
        <f>'DRE '!Q19</f>
        <v>0</v>
      </c>
      <c r="R15" s="54">
        <f>'DRE '!R19</f>
        <v>0</v>
      </c>
      <c r="S15" s="54">
        <f>'DRE '!S19</f>
        <v>0</v>
      </c>
      <c r="T15" s="54">
        <f>'DRE '!T19</f>
        <v>0</v>
      </c>
      <c r="U15" s="54">
        <f>'DRE '!U19</f>
        <v>0</v>
      </c>
      <c r="V15" s="54">
        <f>'DRE '!V19</f>
        <v>0</v>
      </c>
      <c r="W15" s="54">
        <f>'DRE '!W19</f>
        <v>0</v>
      </c>
      <c r="X15" s="54">
        <f>'DRE '!X19</f>
        <v>0</v>
      </c>
      <c r="Y15" s="54">
        <f>'DRE '!Y19</f>
        <v>0</v>
      </c>
      <c r="Z15" s="54">
        <f>'DRE '!Z19</f>
        <v>0</v>
      </c>
      <c r="AA15" s="54">
        <f>'DRE '!AA19</f>
        <v>0</v>
      </c>
      <c r="AB15" s="54">
        <f>'DRE '!AB19</f>
        <v>0</v>
      </c>
      <c r="AC15" s="54">
        <f>'DRE '!AC19</f>
        <v>0</v>
      </c>
      <c r="AD15" s="54">
        <f>'DRE '!AD19</f>
        <v>0</v>
      </c>
      <c r="AE15" s="54">
        <f>'DRE '!AE19</f>
        <v>0</v>
      </c>
      <c r="AF15" s="54">
        <f>'DRE '!AF19</f>
        <v>0</v>
      </c>
      <c r="AG15" s="54">
        <f>'DRE '!AG19</f>
        <v>0</v>
      </c>
      <c r="AH15" s="54">
        <f>'DRE '!AH19</f>
        <v>0</v>
      </c>
      <c r="AI15" s="54">
        <f>'DRE '!AI19</f>
        <v>0</v>
      </c>
      <c r="AJ15" s="54">
        <f>'DRE '!AJ19</f>
        <v>0</v>
      </c>
      <c r="AK15" s="54">
        <f>'DRE '!AK19</f>
        <v>0</v>
      </c>
      <c r="AL15" s="54">
        <f>'DRE '!AL19</f>
        <v>0</v>
      </c>
      <c r="AM15" s="54">
        <f>'DRE '!AM19</f>
        <v>0</v>
      </c>
      <c r="AN15" s="54">
        <f>'DRE '!AN19</f>
        <v>0</v>
      </c>
      <c r="AO15" s="54">
        <f>'DRE '!AO19</f>
        <v>0</v>
      </c>
      <c r="AP15" s="54">
        <f>'DRE '!AP19</f>
        <v>0</v>
      </c>
      <c r="AQ15" s="54">
        <f>'DRE '!AQ19</f>
        <v>0</v>
      </c>
      <c r="AR15" s="54">
        <f>'DRE '!AR19</f>
        <v>0</v>
      </c>
      <c r="AS15" s="54">
        <f>'DRE '!AS19</f>
        <v>0</v>
      </c>
      <c r="AT15" s="54">
        <f>'DRE '!AT19</f>
        <v>0</v>
      </c>
      <c r="AU15" s="54">
        <f>'DRE '!AU19</f>
        <v>0</v>
      </c>
      <c r="AV15" s="54">
        <f>'DRE '!AV19</f>
        <v>0</v>
      </c>
      <c r="AW15" s="55">
        <f>'DRE '!AW19</f>
        <v>0</v>
      </c>
      <c r="BC15" s="46"/>
    </row>
    <row r="16" spans="1:55" ht="15.75" customHeight="1" x14ac:dyDescent="0.2">
      <c r="A16" s="57" t="s">
        <v>18</v>
      </c>
      <c r="B16" s="51">
        <f>'DRE '!B20</f>
        <v>0</v>
      </c>
      <c r="C16" s="51">
        <f>'DRE '!C20</f>
        <v>0</v>
      </c>
      <c r="D16" s="51">
        <f>'DRE '!D20</f>
        <v>0</v>
      </c>
      <c r="E16" s="51">
        <f>'DRE '!E20</f>
        <v>0</v>
      </c>
      <c r="F16" s="51">
        <f>'DRE '!F20</f>
        <v>0</v>
      </c>
      <c r="G16" s="51">
        <f>'DRE '!G20</f>
        <v>0</v>
      </c>
      <c r="H16" s="51">
        <f>'DRE '!H20</f>
        <v>0</v>
      </c>
      <c r="I16" s="51">
        <f>'DRE '!I20</f>
        <v>0</v>
      </c>
      <c r="J16" s="51">
        <f>'DRE '!J20</f>
        <v>0</v>
      </c>
      <c r="K16" s="51">
        <f>'DRE '!K20</f>
        <v>0</v>
      </c>
      <c r="L16" s="51">
        <f>'DRE '!L20</f>
        <v>0</v>
      </c>
      <c r="M16" s="51">
        <f>'DRE '!M20</f>
        <v>0</v>
      </c>
      <c r="N16" s="51">
        <f>'DRE '!N20</f>
        <v>0</v>
      </c>
      <c r="O16" s="51">
        <f>'DRE '!O20</f>
        <v>0</v>
      </c>
      <c r="P16" s="51">
        <f>'DRE '!P20</f>
        <v>0</v>
      </c>
      <c r="Q16" s="51">
        <f>'DRE '!Q20</f>
        <v>0</v>
      </c>
      <c r="R16" s="51">
        <f>'DRE '!R20</f>
        <v>0</v>
      </c>
      <c r="S16" s="51">
        <f>'DRE '!S20</f>
        <v>0</v>
      </c>
      <c r="T16" s="51">
        <f>'DRE '!T20</f>
        <v>0</v>
      </c>
      <c r="U16" s="51">
        <f>'DRE '!U20</f>
        <v>0</v>
      </c>
      <c r="V16" s="51">
        <f>'DRE '!V20</f>
        <v>0</v>
      </c>
      <c r="W16" s="51">
        <f>'DRE '!W20</f>
        <v>0</v>
      </c>
      <c r="X16" s="51">
        <f>'DRE '!X20</f>
        <v>0</v>
      </c>
      <c r="Y16" s="51">
        <f>'DRE '!Y20</f>
        <v>0</v>
      </c>
      <c r="Z16" s="51">
        <f>'DRE '!Z20</f>
        <v>0</v>
      </c>
      <c r="AA16" s="51">
        <f>'DRE '!AA20</f>
        <v>0</v>
      </c>
      <c r="AB16" s="51">
        <f>'DRE '!AB20</f>
        <v>0</v>
      </c>
      <c r="AC16" s="51">
        <f>'DRE '!AC20</f>
        <v>0</v>
      </c>
      <c r="AD16" s="51">
        <f>'DRE '!AD20</f>
        <v>0</v>
      </c>
      <c r="AE16" s="51">
        <f>'DRE '!AE20</f>
        <v>0</v>
      </c>
      <c r="AF16" s="51">
        <f>'DRE '!AF20</f>
        <v>0</v>
      </c>
      <c r="AG16" s="51">
        <f>'DRE '!AG20</f>
        <v>0</v>
      </c>
      <c r="AH16" s="51">
        <f>'DRE '!AH20</f>
        <v>0</v>
      </c>
      <c r="AI16" s="51">
        <f>'DRE '!AI20</f>
        <v>0</v>
      </c>
      <c r="AJ16" s="51">
        <f>'DRE '!AJ20</f>
        <v>0</v>
      </c>
      <c r="AK16" s="51">
        <f>'DRE '!AK20</f>
        <v>0</v>
      </c>
      <c r="AL16" s="51">
        <f>'DRE '!AL20</f>
        <v>0</v>
      </c>
      <c r="AM16" s="51">
        <f>'DRE '!AM20</f>
        <v>0</v>
      </c>
      <c r="AN16" s="51">
        <f>'DRE '!AN20</f>
        <v>0</v>
      </c>
      <c r="AO16" s="51">
        <f>'DRE '!AO20</f>
        <v>0</v>
      </c>
      <c r="AP16" s="51">
        <f>'DRE '!AP20</f>
        <v>0</v>
      </c>
      <c r="AQ16" s="51">
        <f>'DRE '!AQ20</f>
        <v>0</v>
      </c>
      <c r="AR16" s="51">
        <f>'DRE '!AR20</f>
        <v>0</v>
      </c>
      <c r="AS16" s="51">
        <f>'DRE '!AS20</f>
        <v>0</v>
      </c>
      <c r="AT16" s="51">
        <f>'DRE '!AT20</f>
        <v>0</v>
      </c>
      <c r="AU16" s="51">
        <f>'DRE '!AU20</f>
        <v>0</v>
      </c>
      <c r="AV16" s="51">
        <f>'DRE '!AV20</f>
        <v>0</v>
      </c>
      <c r="AW16" s="52">
        <f>'DRE '!AW20</f>
        <v>0</v>
      </c>
      <c r="BC16" s="46"/>
    </row>
    <row r="17" spans="1:55" ht="15.75" customHeight="1" x14ac:dyDescent="0.2">
      <c r="A17" s="48" t="s">
        <v>109</v>
      </c>
      <c r="B17" s="53">
        <f>'DRE '!B22</f>
        <v>0</v>
      </c>
      <c r="C17" s="53">
        <f>'DRE '!C22</f>
        <v>0</v>
      </c>
      <c r="D17" s="53">
        <f>'DRE '!D22</f>
        <v>0</v>
      </c>
      <c r="E17" s="53">
        <f>'DRE '!E22</f>
        <v>0</v>
      </c>
      <c r="F17" s="53">
        <f>'DRE '!F22</f>
        <v>0</v>
      </c>
      <c r="G17" s="54">
        <f>'DRE '!G22</f>
        <v>0</v>
      </c>
      <c r="H17" s="54">
        <f>'DRE '!H22</f>
        <v>0</v>
      </c>
      <c r="I17" s="54">
        <f>'DRE '!I22</f>
        <v>0</v>
      </c>
      <c r="J17" s="54">
        <f>'DRE '!J22</f>
        <v>0</v>
      </c>
      <c r="K17" s="54">
        <f>'DRE '!K22</f>
        <v>0</v>
      </c>
      <c r="L17" s="54">
        <f>'DRE '!L22</f>
        <v>0</v>
      </c>
      <c r="M17" s="54">
        <f>'DRE '!M22</f>
        <v>0</v>
      </c>
      <c r="N17" s="54">
        <f>'DRE '!N22</f>
        <v>0</v>
      </c>
      <c r="O17" s="54">
        <f>'DRE '!O22</f>
        <v>0</v>
      </c>
      <c r="P17" s="54">
        <f>'DRE '!P22</f>
        <v>0</v>
      </c>
      <c r="Q17" s="54">
        <f>'DRE '!Q22</f>
        <v>0</v>
      </c>
      <c r="R17" s="54">
        <f>'DRE '!R22</f>
        <v>0</v>
      </c>
      <c r="S17" s="54">
        <f>'DRE '!S22</f>
        <v>0</v>
      </c>
      <c r="T17" s="54">
        <f>'DRE '!T22</f>
        <v>0</v>
      </c>
      <c r="U17" s="54">
        <f>'DRE '!U22</f>
        <v>0</v>
      </c>
      <c r="V17" s="54">
        <f>'DRE '!V22</f>
        <v>0</v>
      </c>
      <c r="W17" s="54">
        <f>'DRE '!W22</f>
        <v>0</v>
      </c>
      <c r="X17" s="54">
        <f>'DRE '!X22</f>
        <v>0</v>
      </c>
      <c r="Y17" s="54">
        <f>'DRE '!Y22</f>
        <v>0</v>
      </c>
      <c r="Z17" s="54">
        <f>'DRE '!Z22</f>
        <v>0</v>
      </c>
      <c r="AA17" s="54">
        <f>'DRE '!AA22</f>
        <v>0</v>
      </c>
      <c r="AB17" s="54">
        <f>'DRE '!AB22</f>
        <v>0</v>
      </c>
      <c r="AC17" s="54">
        <f>'DRE '!AC22</f>
        <v>0</v>
      </c>
      <c r="AD17" s="54">
        <f>'DRE '!AD22</f>
        <v>0</v>
      </c>
      <c r="AE17" s="54">
        <f>'DRE '!AE22</f>
        <v>0</v>
      </c>
      <c r="AF17" s="54">
        <f>'DRE '!AF22</f>
        <v>0</v>
      </c>
      <c r="AG17" s="54">
        <f>'DRE '!AG22</f>
        <v>0</v>
      </c>
      <c r="AH17" s="54">
        <f>'DRE '!AH22</f>
        <v>0</v>
      </c>
      <c r="AI17" s="54">
        <f>'DRE '!AI22</f>
        <v>0</v>
      </c>
      <c r="AJ17" s="54">
        <f>'DRE '!AJ22</f>
        <v>0</v>
      </c>
      <c r="AK17" s="54">
        <f>'DRE '!AK22</f>
        <v>0</v>
      </c>
      <c r="AL17" s="54">
        <f>'DRE '!AL22</f>
        <v>0</v>
      </c>
      <c r="AM17" s="54">
        <f>'DRE '!AM22</f>
        <v>0</v>
      </c>
      <c r="AN17" s="54">
        <f>'DRE '!AN22</f>
        <v>0</v>
      </c>
      <c r="AO17" s="54">
        <f>'DRE '!AO22</f>
        <v>0</v>
      </c>
      <c r="AP17" s="54">
        <f>'DRE '!AP22</f>
        <v>0</v>
      </c>
      <c r="AQ17" s="54">
        <f>'DRE '!AQ22</f>
        <v>0</v>
      </c>
      <c r="AR17" s="54">
        <f>'DRE '!AR22</f>
        <v>0</v>
      </c>
      <c r="AS17" s="54">
        <f>'DRE '!AS22</f>
        <v>0</v>
      </c>
      <c r="AT17" s="54">
        <f>'DRE '!AT22</f>
        <v>0</v>
      </c>
      <c r="AU17" s="54">
        <f>'DRE '!AU22</f>
        <v>0</v>
      </c>
      <c r="AV17" s="54">
        <f>'DRE '!AV22</f>
        <v>0</v>
      </c>
      <c r="AW17" s="55">
        <f>'DRE '!AW22</f>
        <v>0</v>
      </c>
      <c r="BC17" s="46"/>
    </row>
    <row r="18" spans="1:55" ht="15.75" customHeight="1" x14ac:dyDescent="0.2">
      <c r="A18" s="56" t="s">
        <v>20</v>
      </c>
      <c r="B18" s="53">
        <f>'DRE '!B23</f>
        <v>0</v>
      </c>
      <c r="C18" s="53">
        <f>'DRE '!C23</f>
        <v>0</v>
      </c>
      <c r="D18" s="53">
        <f>'DRE '!D23</f>
        <v>0</v>
      </c>
      <c r="E18" s="53">
        <f>'DRE '!E23</f>
        <v>0</v>
      </c>
      <c r="F18" s="53">
        <f>'DRE '!F23</f>
        <v>0</v>
      </c>
      <c r="G18" s="54">
        <f>'DRE '!G23</f>
        <v>0</v>
      </c>
      <c r="H18" s="54">
        <f>'DRE '!H23</f>
        <v>0</v>
      </c>
      <c r="I18" s="54">
        <f>'DRE '!I23</f>
        <v>0</v>
      </c>
      <c r="J18" s="54">
        <f>'DRE '!J23</f>
        <v>0</v>
      </c>
      <c r="K18" s="54">
        <f>'DRE '!K23</f>
        <v>0</v>
      </c>
      <c r="L18" s="54">
        <f>'DRE '!L23</f>
        <v>0</v>
      </c>
      <c r="M18" s="54">
        <f>'DRE '!M23</f>
        <v>0</v>
      </c>
      <c r="N18" s="54">
        <f>'DRE '!N23</f>
        <v>0</v>
      </c>
      <c r="O18" s="54">
        <f>'DRE '!O23</f>
        <v>0</v>
      </c>
      <c r="P18" s="54">
        <f>'DRE '!P23</f>
        <v>0</v>
      </c>
      <c r="Q18" s="54">
        <f>'DRE '!Q23</f>
        <v>0</v>
      </c>
      <c r="R18" s="54">
        <f>'DRE '!R23</f>
        <v>0</v>
      </c>
      <c r="S18" s="54">
        <f>'DRE '!S23</f>
        <v>0</v>
      </c>
      <c r="T18" s="54">
        <f>'DRE '!T23</f>
        <v>0</v>
      </c>
      <c r="U18" s="54">
        <f>'DRE '!U23</f>
        <v>0</v>
      </c>
      <c r="V18" s="54">
        <f>'DRE '!V23</f>
        <v>0</v>
      </c>
      <c r="W18" s="54">
        <f>'DRE '!W23</f>
        <v>0</v>
      </c>
      <c r="X18" s="54">
        <f>'DRE '!X23</f>
        <v>0</v>
      </c>
      <c r="Y18" s="54">
        <f>'DRE '!Y23</f>
        <v>0</v>
      </c>
      <c r="Z18" s="54">
        <f>'DRE '!Z23</f>
        <v>0</v>
      </c>
      <c r="AA18" s="54">
        <f>'DRE '!AA23</f>
        <v>0</v>
      </c>
      <c r="AB18" s="54">
        <f>'DRE '!AB23</f>
        <v>0</v>
      </c>
      <c r="AC18" s="54">
        <f>'DRE '!AC23</f>
        <v>0</v>
      </c>
      <c r="AD18" s="54">
        <f>'DRE '!AD23</f>
        <v>0</v>
      </c>
      <c r="AE18" s="54">
        <f>'DRE '!AE23</f>
        <v>0</v>
      </c>
      <c r="AF18" s="54">
        <f>'DRE '!AF23</f>
        <v>0</v>
      </c>
      <c r="AG18" s="54">
        <f>'DRE '!AG23</f>
        <v>0</v>
      </c>
      <c r="AH18" s="54">
        <f>'DRE '!AH23</f>
        <v>0</v>
      </c>
      <c r="AI18" s="54">
        <f>'DRE '!AI23</f>
        <v>0</v>
      </c>
      <c r="AJ18" s="54">
        <f>'DRE '!AJ23</f>
        <v>0</v>
      </c>
      <c r="AK18" s="54">
        <f>'DRE '!AK23</f>
        <v>0</v>
      </c>
      <c r="AL18" s="54">
        <f>'DRE '!AL23</f>
        <v>0</v>
      </c>
      <c r="AM18" s="54">
        <f>'DRE '!AM23</f>
        <v>0</v>
      </c>
      <c r="AN18" s="54">
        <f>'DRE '!AN23</f>
        <v>0</v>
      </c>
      <c r="AO18" s="54">
        <f>'DRE '!AO23</f>
        <v>0</v>
      </c>
      <c r="AP18" s="54">
        <f>'DRE '!AP23</f>
        <v>0</v>
      </c>
      <c r="AQ18" s="54">
        <f>'DRE '!AQ23</f>
        <v>0</v>
      </c>
      <c r="AR18" s="54">
        <f>'DRE '!AR23</f>
        <v>0</v>
      </c>
      <c r="AS18" s="54">
        <f>'DRE '!AS23</f>
        <v>0</v>
      </c>
      <c r="AT18" s="54">
        <f>'DRE '!AT23</f>
        <v>0</v>
      </c>
      <c r="AU18" s="54">
        <f>'DRE '!AU23</f>
        <v>0</v>
      </c>
      <c r="AV18" s="54">
        <f>'DRE '!AV23</f>
        <v>0</v>
      </c>
      <c r="AW18" s="55">
        <f>'DRE '!AW23</f>
        <v>0</v>
      </c>
      <c r="BC18" s="46"/>
    </row>
    <row r="19" spans="1:55" ht="15.75" customHeight="1" x14ac:dyDescent="0.2">
      <c r="A19" s="58" t="s">
        <v>110</v>
      </c>
      <c r="B19" s="49">
        <f>'DRE '!B24</f>
        <v>0</v>
      </c>
      <c r="C19" s="49">
        <f>'DRE '!C24</f>
        <v>0</v>
      </c>
      <c r="D19" s="49">
        <f>'DRE '!D24</f>
        <v>0</v>
      </c>
      <c r="E19" s="49">
        <f>'DRE '!E24</f>
        <v>0</v>
      </c>
      <c r="F19" s="49">
        <f>'DRE '!F24</f>
        <v>0</v>
      </c>
      <c r="G19" s="49">
        <f>'DRE '!G24</f>
        <v>0</v>
      </c>
      <c r="H19" s="49">
        <f>'DRE '!H24</f>
        <v>0</v>
      </c>
      <c r="I19" s="49">
        <f>'DRE '!I24</f>
        <v>0</v>
      </c>
      <c r="J19" s="49">
        <f>'DRE '!J24</f>
        <v>0</v>
      </c>
      <c r="K19" s="49">
        <f>'DRE '!K24</f>
        <v>0</v>
      </c>
      <c r="L19" s="49">
        <f>'DRE '!L24</f>
        <v>0</v>
      </c>
      <c r="M19" s="49">
        <f>'DRE '!M24</f>
        <v>0</v>
      </c>
      <c r="N19" s="49">
        <f>'DRE '!N24</f>
        <v>0</v>
      </c>
      <c r="O19" s="49">
        <f>'DRE '!O24</f>
        <v>0</v>
      </c>
      <c r="P19" s="49">
        <f>'DRE '!P24</f>
        <v>0</v>
      </c>
      <c r="Q19" s="49">
        <f>'DRE '!Q24</f>
        <v>0</v>
      </c>
      <c r="R19" s="49">
        <f>'DRE '!R24</f>
        <v>0</v>
      </c>
      <c r="S19" s="49">
        <f>'DRE '!S24</f>
        <v>0</v>
      </c>
      <c r="T19" s="49">
        <f>'DRE '!T24</f>
        <v>0</v>
      </c>
      <c r="U19" s="49">
        <f>'DRE '!U24</f>
        <v>0</v>
      </c>
      <c r="V19" s="49">
        <f>'DRE '!V24</f>
        <v>0</v>
      </c>
      <c r="W19" s="49">
        <f>'DRE '!W24</f>
        <v>0</v>
      </c>
      <c r="X19" s="49">
        <f>'DRE '!X24</f>
        <v>0</v>
      </c>
      <c r="Y19" s="49">
        <f>'DRE '!Y24</f>
        <v>0</v>
      </c>
      <c r="Z19" s="49">
        <f>'DRE '!Z24</f>
        <v>0</v>
      </c>
      <c r="AA19" s="49">
        <f>'DRE '!AA24</f>
        <v>0</v>
      </c>
      <c r="AB19" s="49">
        <f>'DRE '!AB24</f>
        <v>0</v>
      </c>
      <c r="AC19" s="49">
        <f>'DRE '!AC24</f>
        <v>0</v>
      </c>
      <c r="AD19" s="49">
        <f>'DRE '!AD24</f>
        <v>0</v>
      </c>
      <c r="AE19" s="49">
        <f>'DRE '!AE24</f>
        <v>0</v>
      </c>
      <c r="AF19" s="49">
        <f>'DRE '!AF24</f>
        <v>0</v>
      </c>
      <c r="AG19" s="49">
        <f>'DRE '!AG24</f>
        <v>0</v>
      </c>
      <c r="AH19" s="49">
        <f>'DRE '!AH24</f>
        <v>0</v>
      </c>
      <c r="AI19" s="49">
        <f>'DRE '!AI24</f>
        <v>0</v>
      </c>
      <c r="AJ19" s="49">
        <f>'DRE '!AJ24</f>
        <v>0</v>
      </c>
      <c r="AK19" s="49">
        <f>'DRE '!AK24</f>
        <v>0</v>
      </c>
      <c r="AL19" s="49">
        <f>'DRE '!AL24</f>
        <v>0</v>
      </c>
      <c r="AM19" s="49">
        <f>'DRE '!AM24</f>
        <v>0</v>
      </c>
      <c r="AN19" s="49">
        <f>'DRE '!AN24</f>
        <v>0</v>
      </c>
      <c r="AO19" s="49">
        <f>'DRE '!AO24</f>
        <v>0</v>
      </c>
      <c r="AP19" s="49">
        <f>'DRE '!AP24</f>
        <v>0</v>
      </c>
      <c r="AQ19" s="49">
        <f>'DRE '!AQ24</f>
        <v>0</v>
      </c>
      <c r="AR19" s="49">
        <f>'DRE '!AR24</f>
        <v>0</v>
      </c>
      <c r="AS19" s="49">
        <f>'DRE '!AS24</f>
        <v>0</v>
      </c>
      <c r="AT19" s="49">
        <f>'DRE '!AT24</f>
        <v>0</v>
      </c>
      <c r="AU19" s="49">
        <f>'DRE '!AU24</f>
        <v>0</v>
      </c>
      <c r="AV19" s="49">
        <f>'DRE '!AV24</f>
        <v>0</v>
      </c>
      <c r="AW19" s="49">
        <f>'DRE '!AW24</f>
        <v>0</v>
      </c>
      <c r="BC19" s="46"/>
    </row>
    <row r="20" spans="1:55" ht="15.75" customHeight="1" x14ac:dyDescent="0.2">
      <c r="A20" s="58" t="s">
        <v>22</v>
      </c>
      <c r="B20" s="53">
        <f>'DRE '!B25</f>
        <v>0</v>
      </c>
      <c r="C20" s="53">
        <f>'DRE '!C25</f>
        <v>0</v>
      </c>
      <c r="D20" s="53">
        <f>'DRE '!D25</f>
        <v>0</v>
      </c>
      <c r="E20" s="53">
        <f>'DRE '!E25</f>
        <v>0</v>
      </c>
      <c r="F20" s="53">
        <f>'DRE '!F25</f>
        <v>0</v>
      </c>
      <c r="G20" s="54">
        <f>'DRE '!G25</f>
        <v>0</v>
      </c>
      <c r="H20" s="54">
        <f>'DRE '!H25</f>
        <v>0</v>
      </c>
      <c r="I20" s="54">
        <f>'DRE '!I25</f>
        <v>0</v>
      </c>
      <c r="J20" s="54">
        <f>'DRE '!J25</f>
        <v>0</v>
      </c>
      <c r="K20" s="54">
        <f>'DRE '!K25</f>
        <v>0</v>
      </c>
      <c r="L20" s="54">
        <f>'DRE '!L25</f>
        <v>0</v>
      </c>
      <c r="M20" s="54">
        <f>'DRE '!M25</f>
        <v>0</v>
      </c>
      <c r="N20" s="54">
        <f>'DRE '!N25</f>
        <v>0</v>
      </c>
      <c r="O20" s="54">
        <f>'DRE '!O25</f>
        <v>0</v>
      </c>
      <c r="P20" s="54">
        <f>'DRE '!P25</f>
        <v>0</v>
      </c>
      <c r="Q20" s="54">
        <f>'DRE '!Q25</f>
        <v>0</v>
      </c>
      <c r="R20" s="54">
        <f>'DRE '!R25</f>
        <v>0</v>
      </c>
      <c r="S20" s="54">
        <f>'DRE '!S25</f>
        <v>0</v>
      </c>
      <c r="T20" s="54">
        <f>'DRE '!T25</f>
        <v>0</v>
      </c>
      <c r="U20" s="54">
        <f>'DRE '!U25</f>
        <v>0</v>
      </c>
      <c r="V20" s="54">
        <f>'DRE '!V25</f>
        <v>0</v>
      </c>
      <c r="W20" s="54">
        <f>'DRE '!W25</f>
        <v>0</v>
      </c>
      <c r="X20" s="54">
        <f>'DRE '!X25</f>
        <v>0</v>
      </c>
      <c r="Y20" s="54">
        <f>'DRE '!Y25</f>
        <v>0</v>
      </c>
      <c r="Z20" s="54">
        <f>'DRE '!Z25</f>
        <v>0</v>
      </c>
      <c r="AA20" s="54">
        <f>'DRE '!AA25</f>
        <v>0</v>
      </c>
      <c r="AB20" s="54">
        <f>'DRE '!AB25</f>
        <v>0</v>
      </c>
      <c r="AC20" s="54">
        <f>'DRE '!AC25</f>
        <v>0</v>
      </c>
      <c r="AD20" s="54">
        <f>'DRE '!AD25</f>
        <v>0</v>
      </c>
      <c r="AE20" s="54">
        <f>'DRE '!AE25</f>
        <v>0</v>
      </c>
      <c r="AF20" s="54">
        <f>'DRE '!AF25</f>
        <v>0</v>
      </c>
      <c r="AG20" s="54">
        <f>'DRE '!AG25</f>
        <v>0</v>
      </c>
      <c r="AH20" s="54">
        <f>'DRE '!AH25</f>
        <v>0</v>
      </c>
      <c r="AI20" s="54">
        <f>'DRE '!AI25</f>
        <v>0</v>
      </c>
      <c r="AJ20" s="54">
        <f>'DRE '!AJ25</f>
        <v>0</v>
      </c>
      <c r="AK20" s="54">
        <f>'DRE '!AK25</f>
        <v>0</v>
      </c>
      <c r="AL20" s="54">
        <f>'DRE '!AL25</f>
        <v>0</v>
      </c>
      <c r="AM20" s="54">
        <f>'DRE '!AM25</f>
        <v>0</v>
      </c>
      <c r="AN20" s="54">
        <f>'DRE '!AN25</f>
        <v>0</v>
      </c>
      <c r="AO20" s="54">
        <f>'DRE '!AO25</f>
        <v>0</v>
      </c>
      <c r="AP20" s="54">
        <f>'DRE '!AP25</f>
        <v>0</v>
      </c>
      <c r="AQ20" s="54">
        <f>'DRE '!AQ25</f>
        <v>0</v>
      </c>
      <c r="AR20" s="54">
        <f>'DRE '!AR25</f>
        <v>0</v>
      </c>
      <c r="AS20" s="54">
        <f>'DRE '!AS25</f>
        <v>0</v>
      </c>
      <c r="AT20" s="54">
        <f>'DRE '!AT25</f>
        <v>0</v>
      </c>
      <c r="AU20" s="54">
        <f>'DRE '!AU25</f>
        <v>0</v>
      </c>
      <c r="AV20" s="54">
        <f>'DRE '!AV25</f>
        <v>0</v>
      </c>
      <c r="AW20" s="55">
        <f>'DRE '!AW25</f>
        <v>0</v>
      </c>
      <c r="BC20" s="46"/>
    </row>
    <row r="21" spans="1:55" ht="15.75" customHeight="1" x14ac:dyDescent="0.2">
      <c r="A21" s="59" t="s">
        <v>23</v>
      </c>
      <c r="B21" s="53">
        <f>'DRE '!B26</f>
        <v>0</v>
      </c>
      <c r="C21" s="53">
        <f>'DRE '!C26</f>
        <v>0</v>
      </c>
      <c r="D21" s="53">
        <f>'DRE '!D26</f>
        <v>0</v>
      </c>
      <c r="E21" s="53">
        <f>'DRE '!E26</f>
        <v>0</v>
      </c>
      <c r="F21" s="53">
        <f>'DRE '!F26</f>
        <v>0</v>
      </c>
      <c r="G21" s="54">
        <f>'DRE '!G26</f>
        <v>0</v>
      </c>
      <c r="H21" s="54">
        <f>'DRE '!H26</f>
        <v>0</v>
      </c>
      <c r="I21" s="54">
        <f>'DRE '!I26</f>
        <v>0</v>
      </c>
      <c r="J21" s="54">
        <f>'DRE '!J26</f>
        <v>0</v>
      </c>
      <c r="K21" s="54">
        <f>'DRE '!K26</f>
        <v>0</v>
      </c>
      <c r="L21" s="54">
        <f>'DRE '!L26</f>
        <v>0</v>
      </c>
      <c r="M21" s="54">
        <f>'DRE '!M26</f>
        <v>0</v>
      </c>
      <c r="N21" s="54">
        <f>'DRE '!N26</f>
        <v>0</v>
      </c>
      <c r="O21" s="54">
        <f>'DRE '!O26</f>
        <v>0</v>
      </c>
      <c r="P21" s="54">
        <f>'DRE '!P26</f>
        <v>0</v>
      </c>
      <c r="Q21" s="54">
        <f>'DRE '!Q26</f>
        <v>0</v>
      </c>
      <c r="R21" s="54">
        <f>'DRE '!R26</f>
        <v>0</v>
      </c>
      <c r="S21" s="54">
        <f>'DRE '!S26</f>
        <v>0</v>
      </c>
      <c r="T21" s="54">
        <f>'DRE '!T26</f>
        <v>0</v>
      </c>
      <c r="U21" s="54">
        <f>'DRE '!U26</f>
        <v>0</v>
      </c>
      <c r="V21" s="54">
        <f>'DRE '!V26</f>
        <v>0</v>
      </c>
      <c r="W21" s="54">
        <f>'DRE '!W26</f>
        <v>0</v>
      </c>
      <c r="X21" s="54">
        <f>'DRE '!X26</f>
        <v>0</v>
      </c>
      <c r="Y21" s="54">
        <f>'DRE '!Y26</f>
        <v>0</v>
      </c>
      <c r="Z21" s="54">
        <f>'DRE '!Z26</f>
        <v>0</v>
      </c>
      <c r="AA21" s="54">
        <f>'DRE '!AA26</f>
        <v>0</v>
      </c>
      <c r="AB21" s="54">
        <f>'DRE '!AB26</f>
        <v>0</v>
      </c>
      <c r="AC21" s="54">
        <f>'DRE '!AC26</f>
        <v>0</v>
      </c>
      <c r="AD21" s="54">
        <f>'DRE '!AD26</f>
        <v>0</v>
      </c>
      <c r="AE21" s="54">
        <f>'DRE '!AE26</f>
        <v>0</v>
      </c>
      <c r="AF21" s="54">
        <f>'DRE '!AF26</f>
        <v>0</v>
      </c>
      <c r="AG21" s="54">
        <f>'DRE '!AG26</f>
        <v>0</v>
      </c>
      <c r="AH21" s="54">
        <f>'DRE '!AH26</f>
        <v>0</v>
      </c>
      <c r="AI21" s="54">
        <f>'DRE '!AI26</f>
        <v>0</v>
      </c>
      <c r="AJ21" s="54">
        <f>'DRE '!AJ26</f>
        <v>0</v>
      </c>
      <c r="AK21" s="54">
        <f>'DRE '!AK26</f>
        <v>0</v>
      </c>
      <c r="AL21" s="54">
        <f>'DRE '!AL26</f>
        <v>0</v>
      </c>
      <c r="AM21" s="54">
        <f>'DRE '!AM26</f>
        <v>0</v>
      </c>
      <c r="AN21" s="54">
        <f>'DRE '!AN26</f>
        <v>0</v>
      </c>
      <c r="AO21" s="54">
        <f>'DRE '!AO26</f>
        <v>0</v>
      </c>
      <c r="AP21" s="54">
        <f>'DRE '!AP26</f>
        <v>0</v>
      </c>
      <c r="AQ21" s="54">
        <f>'DRE '!AQ26</f>
        <v>0</v>
      </c>
      <c r="AR21" s="54">
        <f>'DRE '!AR26</f>
        <v>0</v>
      </c>
      <c r="AS21" s="54">
        <f>'DRE '!AS26</f>
        <v>0</v>
      </c>
      <c r="AT21" s="54">
        <f>'DRE '!AT26</f>
        <v>0</v>
      </c>
      <c r="AU21" s="54">
        <f>'DRE '!AU26</f>
        <v>0</v>
      </c>
      <c r="AV21" s="54">
        <f>'DRE '!AV26</f>
        <v>0</v>
      </c>
      <c r="AW21" s="55">
        <f>'DRE '!AW26</f>
        <v>0</v>
      </c>
      <c r="BC21" s="46"/>
    </row>
    <row r="22" spans="1:55" ht="15.75" customHeight="1" x14ac:dyDescent="0.2">
      <c r="A22" s="58" t="s">
        <v>24</v>
      </c>
      <c r="B22" s="53">
        <f>'DRE '!B27</f>
        <v>0</v>
      </c>
      <c r="C22" s="53">
        <f>'DRE '!C27</f>
        <v>0</v>
      </c>
      <c r="D22" s="53">
        <f>'DRE '!D27</f>
        <v>0</v>
      </c>
      <c r="E22" s="53">
        <f>'DRE '!E27</f>
        <v>0</v>
      </c>
      <c r="F22" s="53">
        <f>'DRE '!F27</f>
        <v>0</v>
      </c>
      <c r="G22" s="54">
        <f>'DRE '!G27</f>
        <v>0</v>
      </c>
      <c r="H22" s="54">
        <f>'DRE '!H27</f>
        <v>0</v>
      </c>
      <c r="I22" s="54">
        <f>'DRE '!I27</f>
        <v>0</v>
      </c>
      <c r="J22" s="54">
        <f>'DRE '!J27</f>
        <v>0</v>
      </c>
      <c r="K22" s="54">
        <f>'DRE '!K27</f>
        <v>0</v>
      </c>
      <c r="L22" s="54">
        <f>'DRE '!L27</f>
        <v>0</v>
      </c>
      <c r="M22" s="54">
        <f>'DRE '!M27</f>
        <v>0</v>
      </c>
      <c r="N22" s="54">
        <f>'DRE '!N27</f>
        <v>0</v>
      </c>
      <c r="O22" s="54">
        <f>'DRE '!O27</f>
        <v>0</v>
      </c>
      <c r="P22" s="54">
        <f>'DRE '!P27</f>
        <v>0</v>
      </c>
      <c r="Q22" s="54">
        <f>'DRE '!Q27</f>
        <v>0</v>
      </c>
      <c r="R22" s="54">
        <f>'DRE '!R27</f>
        <v>0</v>
      </c>
      <c r="S22" s="54">
        <f>'DRE '!S27</f>
        <v>0</v>
      </c>
      <c r="T22" s="54">
        <f>'DRE '!T27</f>
        <v>0</v>
      </c>
      <c r="U22" s="54">
        <f>'DRE '!U27</f>
        <v>0</v>
      </c>
      <c r="V22" s="54">
        <f>'DRE '!V27</f>
        <v>0</v>
      </c>
      <c r="W22" s="54">
        <f>'DRE '!W27</f>
        <v>0</v>
      </c>
      <c r="X22" s="54">
        <f>'DRE '!X27</f>
        <v>0</v>
      </c>
      <c r="Y22" s="54">
        <f>'DRE '!Y27</f>
        <v>0</v>
      </c>
      <c r="Z22" s="54">
        <f>'DRE '!Z27</f>
        <v>0</v>
      </c>
      <c r="AA22" s="54">
        <f>'DRE '!AA27</f>
        <v>0</v>
      </c>
      <c r="AB22" s="54">
        <f>'DRE '!AB27</f>
        <v>0</v>
      </c>
      <c r="AC22" s="54">
        <f>'DRE '!AC27</f>
        <v>0</v>
      </c>
      <c r="AD22" s="54">
        <f>'DRE '!AD27</f>
        <v>0</v>
      </c>
      <c r="AE22" s="54">
        <f>'DRE '!AE27</f>
        <v>0</v>
      </c>
      <c r="AF22" s="54">
        <f>'DRE '!AF27</f>
        <v>0</v>
      </c>
      <c r="AG22" s="54">
        <f>'DRE '!AG27</f>
        <v>0</v>
      </c>
      <c r="AH22" s="54">
        <f>'DRE '!AH27</f>
        <v>0</v>
      </c>
      <c r="AI22" s="54">
        <f>'DRE '!AI27</f>
        <v>0</v>
      </c>
      <c r="AJ22" s="54">
        <f>'DRE '!AJ27</f>
        <v>0</v>
      </c>
      <c r="AK22" s="54">
        <f>'DRE '!AK27</f>
        <v>0</v>
      </c>
      <c r="AL22" s="54">
        <f>'DRE '!AL27</f>
        <v>0</v>
      </c>
      <c r="AM22" s="54">
        <f>'DRE '!AM27</f>
        <v>0</v>
      </c>
      <c r="AN22" s="54">
        <f>'DRE '!AN27</f>
        <v>0</v>
      </c>
      <c r="AO22" s="54">
        <f>'DRE '!AO27</f>
        <v>0</v>
      </c>
      <c r="AP22" s="54">
        <f>'DRE '!AP27</f>
        <v>0</v>
      </c>
      <c r="AQ22" s="54">
        <f>'DRE '!AQ27</f>
        <v>0</v>
      </c>
      <c r="AR22" s="54">
        <f>'DRE '!AR27</f>
        <v>0</v>
      </c>
      <c r="AS22" s="54">
        <f>'DRE '!AS27</f>
        <v>0</v>
      </c>
      <c r="AT22" s="54">
        <f>'DRE '!AT27</f>
        <v>0</v>
      </c>
      <c r="AU22" s="54">
        <f>'DRE '!AU27</f>
        <v>0</v>
      </c>
      <c r="AV22" s="54">
        <f>'DRE '!AV27</f>
        <v>0</v>
      </c>
      <c r="AW22" s="55">
        <f>'DRE '!AW27</f>
        <v>0</v>
      </c>
      <c r="BC22" s="46"/>
    </row>
    <row r="23" spans="1:55" ht="15.75" customHeight="1" x14ac:dyDescent="0.2">
      <c r="A23" s="56" t="s">
        <v>25</v>
      </c>
      <c r="B23" s="53">
        <f>'DRE '!B28</f>
        <v>0</v>
      </c>
      <c r="C23" s="53">
        <f>'DRE '!C28</f>
        <v>0</v>
      </c>
      <c r="D23" s="53">
        <f>'DRE '!D28</f>
        <v>0</v>
      </c>
      <c r="E23" s="53">
        <f>'DRE '!E28</f>
        <v>0</v>
      </c>
      <c r="F23" s="53">
        <f>'DRE '!F28</f>
        <v>0</v>
      </c>
      <c r="G23" s="54">
        <f>'DRE '!G28</f>
        <v>0</v>
      </c>
      <c r="H23" s="54">
        <f>'DRE '!H28</f>
        <v>0</v>
      </c>
      <c r="I23" s="54">
        <f>'DRE '!I28</f>
        <v>0</v>
      </c>
      <c r="J23" s="54">
        <f>'DRE '!J28</f>
        <v>0</v>
      </c>
      <c r="K23" s="54">
        <f>'DRE '!K28</f>
        <v>0</v>
      </c>
      <c r="L23" s="54">
        <f>'DRE '!L28</f>
        <v>0</v>
      </c>
      <c r="M23" s="54">
        <f>'DRE '!M28</f>
        <v>0</v>
      </c>
      <c r="N23" s="54">
        <f>'DRE '!N28</f>
        <v>0</v>
      </c>
      <c r="O23" s="54">
        <f>'DRE '!O28</f>
        <v>0</v>
      </c>
      <c r="P23" s="54">
        <f>'DRE '!P28</f>
        <v>0</v>
      </c>
      <c r="Q23" s="54">
        <f>'DRE '!Q28</f>
        <v>0</v>
      </c>
      <c r="R23" s="54">
        <f>'DRE '!R28</f>
        <v>0</v>
      </c>
      <c r="S23" s="54">
        <f>'DRE '!S28</f>
        <v>0</v>
      </c>
      <c r="T23" s="54">
        <f>'DRE '!T28</f>
        <v>0</v>
      </c>
      <c r="U23" s="54">
        <f>'DRE '!U28</f>
        <v>0</v>
      </c>
      <c r="V23" s="54">
        <f>'DRE '!V28</f>
        <v>0</v>
      </c>
      <c r="W23" s="54">
        <f>'DRE '!W28</f>
        <v>0</v>
      </c>
      <c r="X23" s="54">
        <f>'DRE '!X28</f>
        <v>0</v>
      </c>
      <c r="Y23" s="54">
        <f>'DRE '!Y28</f>
        <v>0</v>
      </c>
      <c r="Z23" s="54">
        <f>'DRE '!Z28</f>
        <v>0</v>
      </c>
      <c r="AA23" s="54">
        <f>'DRE '!AA28</f>
        <v>0</v>
      </c>
      <c r="AB23" s="54">
        <f>'DRE '!AB28</f>
        <v>0</v>
      </c>
      <c r="AC23" s="54">
        <f>'DRE '!AC28</f>
        <v>0</v>
      </c>
      <c r="AD23" s="54">
        <f>'DRE '!AD28</f>
        <v>0</v>
      </c>
      <c r="AE23" s="54">
        <f>'DRE '!AE28</f>
        <v>0</v>
      </c>
      <c r="AF23" s="54">
        <f>'DRE '!AF28</f>
        <v>0</v>
      </c>
      <c r="AG23" s="54">
        <f>'DRE '!AG28</f>
        <v>0</v>
      </c>
      <c r="AH23" s="54">
        <f>'DRE '!AH28</f>
        <v>0</v>
      </c>
      <c r="AI23" s="54">
        <f>'DRE '!AI28</f>
        <v>0</v>
      </c>
      <c r="AJ23" s="54">
        <f>'DRE '!AJ28</f>
        <v>0</v>
      </c>
      <c r="AK23" s="54">
        <f>'DRE '!AK28</f>
        <v>0</v>
      </c>
      <c r="AL23" s="54">
        <f>'DRE '!AL28</f>
        <v>0</v>
      </c>
      <c r="AM23" s="54">
        <f>'DRE '!AM28</f>
        <v>0</v>
      </c>
      <c r="AN23" s="54">
        <f>'DRE '!AN28</f>
        <v>0</v>
      </c>
      <c r="AO23" s="54">
        <f>'DRE '!AO28</f>
        <v>0</v>
      </c>
      <c r="AP23" s="54">
        <f>'DRE '!AP28</f>
        <v>0</v>
      </c>
      <c r="AQ23" s="54">
        <f>'DRE '!AQ28</f>
        <v>0</v>
      </c>
      <c r="AR23" s="54">
        <f>'DRE '!AR28</f>
        <v>0</v>
      </c>
      <c r="AS23" s="54">
        <f>'DRE '!AS28</f>
        <v>0</v>
      </c>
      <c r="AT23" s="54">
        <f>'DRE '!AT28</f>
        <v>0</v>
      </c>
      <c r="AU23" s="54">
        <f>'DRE '!AU28</f>
        <v>0</v>
      </c>
      <c r="AV23" s="54">
        <f>'DRE '!AV28</f>
        <v>0</v>
      </c>
      <c r="AW23" s="55">
        <f>'DRE '!AW28</f>
        <v>0</v>
      </c>
      <c r="BC23" s="46"/>
    </row>
    <row r="24" spans="1:55" ht="15.75" customHeight="1" x14ac:dyDescent="0.2">
      <c r="A24" s="58" t="s">
        <v>111</v>
      </c>
      <c r="B24" s="49">
        <f>'DRE '!B29</f>
        <v>0</v>
      </c>
      <c r="C24" s="49">
        <f>'DRE '!C29</f>
        <v>0</v>
      </c>
      <c r="D24" s="49">
        <f>'DRE '!D29</f>
        <v>0</v>
      </c>
      <c r="E24" s="49">
        <f>'DRE '!E29</f>
        <v>0</v>
      </c>
      <c r="F24" s="49">
        <f>'DRE '!F29</f>
        <v>0</v>
      </c>
      <c r="G24" s="49">
        <f>'DRE '!G29</f>
        <v>0</v>
      </c>
      <c r="H24" s="49">
        <f>'DRE '!H29</f>
        <v>0</v>
      </c>
      <c r="I24" s="49">
        <f>'DRE '!I29</f>
        <v>0</v>
      </c>
      <c r="J24" s="49">
        <f>'DRE '!J29</f>
        <v>0</v>
      </c>
      <c r="K24" s="49">
        <f>'DRE '!K29</f>
        <v>0</v>
      </c>
      <c r="L24" s="49">
        <f>'DRE '!L29</f>
        <v>0</v>
      </c>
      <c r="M24" s="49">
        <f>'DRE '!M29</f>
        <v>0</v>
      </c>
      <c r="N24" s="49">
        <f>'DRE '!N29</f>
        <v>0</v>
      </c>
      <c r="O24" s="49">
        <f>'DRE '!O29</f>
        <v>0</v>
      </c>
      <c r="P24" s="49">
        <f>'DRE '!P29</f>
        <v>0</v>
      </c>
      <c r="Q24" s="49">
        <f>'DRE '!Q29</f>
        <v>0</v>
      </c>
      <c r="R24" s="49">
        <f>'DRE '!R29</f>
        <v>0</v>
      </c>
      <c r="S24" s="49">
        <f>'DRE '!S29</f>
        <v>0</v>
      </c>
      <c r="T24" s="49">
        <f>'DRE '!T29</f>
        <v>0</v>
      </c>
      <c r="U24" s="49">
        <f>'DRE '!U29</f>
        <v>0</v>
      </c>
      <c r="V24" s="49">
        <f>'DRE '!V29</f>
        <v>0</v>
      </c>
      <c r="W24" s="49">
        <f>'DRE '!W29</f>
        <v>0</v>
      </c>
      <c r="X24" s="49">
        <f>'DRE '!X29</f>
        <v>0</v>
      </c>
      <c r="Y24" s="49">
        <f>'DRE '!Y29</f>
        <v>0</v>
      </c>
      <c r="Z24" s="49">
        <f>'DRE '!Z29</f>
        <v>0</v>
      </c>
      <c r="AA24" s="49">
        <f>'DRE '!AA29</f>
        <v>0</v>
      </c>
      <c r="AB24" s="49">
        <f>'DRE '!AB29</f>
        <v>0</v>
      </c>
      <c r="AC24" s="49">
        <f>'DRE '!AC29</f>
        <v>0</v>
      </c>
      <c r="AD24" s="49">
        <f>'DRE '!AD29</f>
        <v>0</v>
      </c>
      <c r="AE24" s="49">
        <f>'DRE '!AE29</f>
        <v>0</v>
      </c>
      <c r="AF24" s="49">
        <f>'DRE '!AF29</f>
        <v>0</v>
      </c>
      <c r="AG24" s="49">
        <f>'DRE '!AG29</f>
        <v>0</v>
      </c>
      <c r="AH24" s="49">
        <f>'DRE '!AH29</f>
        <v>0</v>
      </c>
      <c r="AI24" s="49">
        <f>'DRE '!AI29</f>
        <v>0</v>
      </c>
      <c r="AJ24" s="49">
        <f>'DRE '!AJ29</f>
        <v>0</v>
      </c>
      <c r="AK24" s="49">
        <f>'DRE '!AK29</f>
        <v>0</v>
      </c>
      <c r="AL24" s="49">
        <f>'DRE '!AL29</f>
        <v>0</v>
      </c>
      <c r="AM24" s="49">
        <f>'DRE '!AM29</f>
        <v>0</v>
      </c>
      <c r="AN24" s="49">
        <f>'DRE '!AN29</f>
        <v>0</v>
      </c>
      <c r="AO24" s="49">
        <f>'DRE '!AO29</f>
        <v>0</v>
      </c>
      <c r="AP24" s="49">
        <f>'DRE '!AP29</f>
        <v>0</v>
      </c>
      <c r="AQ24" s="49">
        <f>'DRE '!AQ29</f>
        <v>0</v>
      </c>
      <c r="AR24" s="49">
        <f>'DRE '!AR29</f>
        <v>0</v>
      </c>
      <c r="AS24" s="49">
        <f>'DRE '!AS29</f>
        <v>0</v>
      </c>
      <c r="AT24" s="49">
        <f>'DRE '!AT29</f>
        <v>0</v>
      </c>
      <c r="AU24" s="49">
        <f>'DRE '!AU29</f>
        <v>0</v>
      </c>
      <c r="AV24" s="49">
        <f>'DRE '!AV29</f>
        <v>0</v>
      </c>
      <c r="AW24" s="49">
        <f>'DRE '!AW29</f>
        <v>0</v>
      </c>
      <c r="BC24" s="46"/>
    </row>
    <row r="25" spans="1:55" ht="15.75" customHeight="1" x14ac:dyDescent="0.2">
      <c r="A25" s="58" t="s">
        <v>22</v>
      </c>
      <c r="B25" s="53">
        <f>'DRE '!B30</f>
        <v>0</v>
      </c>
      <c r="C25" s="53">
        <f>'DRE '!C30</f>
        <v>0</v>
      </c>
      <c r="D25" s="53">
        <f>'DRE '!D30</f>
        <v>0</v>
      </c>
      <c r="E25" s="53">
        <f>'DRE '!E30</f>
        <v>0</v>
      </c>
      <c r="F25" s="53">
        <f>'DRE '!F30</f>
        <v>0</v>
      </c>
      <c r="G25" s="54">
        <f>'DRE '!G30</f>
        <v>0</v>
      </c>
      <c r="H25" s="54">
        <f>'DRE '!H30</f>
        <v>0</v>
      </c>
      <c r="I25" s="54">
        <f>'DRE '!I30</f>
        <v>0</v>
      </c>
      <c r="J25" s="54">
        <f>'DRE '!J30</f>
        <v>0</v>
      </c>
      <c r="K25" s="54">
        <f>'DRE '!K30</f>
        <v>0</v>
      </c>
      <c r="L25" s="54">
        <f>'DRE '!L30</f>
        <v>0</v>
      </c>
      <c r="M25" s="54">
        <f>'DRE '!M30</f>
        <v>0</v>
      </c>
      <c r="N25" s="54">
        <f>'DRE '!N30</f>
        <v>0</v>
      </c>
      <c r="O25" s="54">
        <f>'DRE '!O30</f>
        <v>0</v>
      </c>
      <c r="P25" s="54">
        <f>'DRE '!P30</f>
        <v>0</v>
      </c>
      <c r="Q25" s="54">
        <f>'DRE '!Q30</f>
        <v>0</v>
      </c>
      <c r="R25" s="54">
        <f>'DRE '!R30</f>
        <v>0</v>
      </c>
      <c r="S25" s="54">
        <f>'DRE '!S30</f>
        <v>0</v>
      </c>
      <c r="T25" s="54">
        <f>'DRE '!T30</f>
        <v>0</v>
      </c>
      <c r="U25" s="54">
        <f>'DRE '!U30</f>
        <v>0</v>
      </c>
      <c r="V25" s="54">
        <f>'DRE '!V30</f>
        <v>0</v>
      </c>
      <c r="W25" s="54">
        <f>'DRE '!W30</f>
        <v>0</v>
      </c>
      <c r="X25" s="54">
        <f>'DRE '!X30</f>
        <v>0</v>
      </c>
      <c r="Y25" s="54">
        <f>'DRE '!Y30</f>
        <v>0</v>
      </c>
      <c r="Z25" s="54">
        <f>'DRE '!Z30</f>
        <v>0</v>
      </c>
      <c r="AA25" s="54">
        <f>'DRE '!AA30</f>
        <v>0</v>
      </c>
      <c r="AB25" s="54">
        <f>'DRE '!AB30</f>
        <v>0</v>
      </c>
      <c r="AC25" s="54">
        <f>'DRE '!AC30</f>
        <v>0</v>
      </c>
      <c r="AD25" s="54">
        <f>'DRE '!AD30</f>
        <v>0</v>
      </c>
      <c r="AE25" s="54">
        <f>'DRE '!AE30</f>
        <v>0</v>
      </c>
      <c r="AF25" s="54">
        <f>'DRE '!AF30</f>
        <v>0</v>
      </c>
      <c r="AG25" s="54">
        <f>'DRE '!AG30</f>
        <v>0</v>
      </c>
      <c r="AH25" s="54">
        <f>'DRE '!AH30</f>
        <v>0</v>
      </c>
      <c r="AI25" s="54">
        <f>'DRE '!AI30</f>
        <v>0</v>
      </c>
      <c r="AJ25" s="54">
        <f>'DRE '!AJ30</f>
        <v>0</v>
      </c>
      <c r="AK25" s="54">
        <f>'DRE '!AK30</f>
        <v>0</v>
      </c>
      <c r="AL25" s="54">
        <f>'DRE '!AL30</f>
        <v>0</v>
      </c>
      <c r="AM25" s="54">
        <f>'DRE '!AM30</f>
        <v>0</v>
      </c>
      <c r="AN25" s="54">
        <f>'DRE '!AN30</f>
        <v>0</v>
      </c>
      <c r="AO25" s="54">
        <f>'DRE '!AO30</f>
        <v>0</v>
      </c>
      <c r="AP25" s="54">
        <f>'DRE '!AP30</f>
        <v>0</v>
      </c>
      <c r="AQ25" s="54">
        <f>'DRE '!AQ30</f>
        <v>0</v>
      </c>
      <c r="AR25" s="54">
        <f>'DRE '!AR30</f>
        <v>0</v>
      </c>
      <c r="AS25" s="54">
        <f>'DRE '!AS30</f>
        <v>0</v>
      </c>
      <c r="AT25" s="54">
        <f>'DRE '!AT30</f>
        <v>0</v>
      </c>
      <c r="AU25" s="54">
        <f>'DRE '!AU30</f>
        <v>0</v>
      </c>
      <c r="AV25" s="54">
        <f>'DRE '!AV30</f>
        <v>0</v>
      </c>
      <c r="AW25" s="55">
        <f>'DRE '!AW30</f>
        <v>0</v>
      </c>
      <c r="BC25" s="46"/>
    </row>
    <row r="26" spans="1:55" ht="15.75" customHeight="1" x14ac:dyDescent="0.2">
      <c r="A26" s="59" t="s">
        <v>23</v>
      </c>
      <c r="B26" s="53">
        <f>'DRE '!B31</f>
        <v>0</v>
      </c>
      <c r="C26" s="53">
        <f>'DRE '!C31</f>
        <v>0</v>
      </c>
      <c r="D26" s="53">
        <f>'DRE '!D31</f>
        <v>0</v>
      </c>
      <c r="E26" s="53">
        <f>'DRE '!E31</f>
        <v>0</v>
      </c>
      <c r="F26" s="53">
        <f>'DRE '!F31</f>
        <v>0</v>
      </c>
      <c r="G26" s="54">
        <f>'DRE '!G31</f>
        <v>0</v>
      </c>
      <c r="H26" s="54">
        <f>'DRE '!H31</f>
        <v>0</v>
      </c>
      <c r="I26" s="54">
        <f>'DRE '!I31</f>
        <v>0</v>
      </c>
      <c r="J26" s="54">
        <f>'DRE '!J31</f>
        <v>0</v>
      </c>
      <c r="K26" s="54">
        <f>'DRE '!K31</f>
        <v>0</v>
      </c>
      <c r="L26" s="54">
        <f>'DRE '!L31</f>
        <v>0</v>
      </c>
      <c r="M26" s="54">
        <f>'DRE '!M31</f>
        <v>0</v>
      </c>
      <c r="N26" s="54">
        <f>'DRE '!N31</f>
        <v>0</v>
      </c>
      <c r="O26" s="54">
        <f>'DRE '!O31</f>
        <v>0</v>
      </c>
      <c r="P26" s="54">
        <f>'DRE '!P31</f>
        <v>0</v>
      </c>
      <c r="Q26" s="54">
        <f>'DRE '!Q31</f>
        <v>0</v>
      </c>
      <c r="R26" s="54">
        <f>'DRE '!R31</f>
        <v>0</v>
      </c>
      <c r="S26" s="54">
        <f>'DRE '!S31</f>
        <v>0</v>
      </c>
      <c r="T26" s="54">
        <f>'DRE '!T31</f>
        <v>0</v>
      </c>
      <c r="U26" s="54">
        <f>'DRE '!U31</f>
        <v>0</v>
      </c>
      <c r="V26" s="54">
        <f>'DRE '!V31</f>
        <v>0</v>
      </c>
      <c r="W26" s="54">
        <f>'DRE '!W31</f>
        <v>0</v>
      </c>
      <c r="X26" s="54">
        <f>'DRE '!X31</f>
        <v>0</v>
      </c>
      <c r="Y26" s="54">
        <f>'DRE '!Y31</f>
        <v>0</v>
      </c>
      <c r="Z26" s="54">
        <f>'DRE '!Z31</f>
        <v>0</v>
      </c>
      <c r="AA26" s="54">
        <f>'DRE '!AA31</f>
        <v>0</v>
      </c>
      <c r="AB26" s="54">
        <f>'DRE '!AB31</f>
        <v>0</v>
      </c>
      <c r="AC26" s="54">
        <f>'DRE '!AC31</f>
        <v>0</v>
      </c>
      <c r="AD26" s="54">
        <f>'DRE '!AD31</f>
        <v>0</v>
      </c>
      <c r="AE26" s="54">
        <f>'DRE '!AE31</f>
        <v>0</v>
      </c>
      <c r="AF26" s="54">
        <f>'DRE '!AF31</f>
        <v>0</v>
      </c>
      <c r="AG26" s="54">
        <f>'DRE '!AG31</f>
        <v>0</v>
      </c>
      <c r="AH26" s="54">
        <f>'DRE '!AH31</f>
        <v>0</v>
      </c>
      <c r="AI26" s="54">
        <f>'DRE '!AI31</f>
        <v>0</v>
      </c>
      <c r="AJ26" s="54">
        <f>'DRE '!AJ31</f>
        <v>0</v>
      </c>
      <c r="AK26" s="54">
        <f>'DRE '!AK31</f>
        <v>0</v>
      </c>
      <c r="AL26" s="54">
        <f>'DRE '!AL31</f>
        <v>0</v>
      </c>
      <c r="AM26" s="54">
        <f>'DRE '!AM31</f>
        <v>0</v>
      </c>
      <c r="AN26" s="54">
        <f>'DRE '!AN31</f>
        <v>0</v>
      </c>
      <c r="AO26" s="54">
        <f>'DRE '!AO31</f>
        <v>0</v>
      </c>
      <c r="AP26" s="54">
        <f>'DRE '!AP31</f>
        <v>0</v>
      </c>
      <c r="AQ26" s="54">
        <f>'DRE '!AQ31</f>
        <v>0</v>
      </c>
      <c r="AR26" s="54">
        <f>'DRE '!AR31</f>
        <v>0</v>
      </c>
      <c r="AS26" s="54">
        <f>'DRE '!AS31</f>
        <v>0</v>
      </c>
      <c r="AT26" s="54">
        <f>'DRE '!AT31</f>
        <v>0</v>
      </c>
      <c r="AU26" s="54">
        <f>'DRE '!AU31</f>
        <v>0</v>
      </c>
      <c r="AV26" s="54">
        <f>'DRE '!AV31</f>
        <v>0</v>
      </c>
      <c r="AW26" s="55">
        <f>'DRE '!AW31</f>
        <v>0</v>
      </c>
      <c r="BC26" s="46"/>
    </row>
    <row r="27" spans="1:55" ht="15.75" customHeight="1" x14ac:dyDescent="0.2">
      <c r="A27" s="58" t="s">
        <v>24</v>
      </c>
      <c r="B27" s="53">
        <f>'DRE '!B32</f>
        <v>0</v>
      </c>
      <c r="C27" s="53">
        <f>'DRE '!C32</f>
        <v>0</v>
      </c>
      <c r="D27" s="53">
        <f>'DRE '!D32</f>
        <v>0</v>
      </c>
      <c r="E27" s="53">
        <f>'DRE '!E32</f>
        <v>0</v>
      </c>
      <c r="F27" s="53">
        <f>'DRE '!F32</f>
        <v>0</v>
      </c>
      <c r="G27" s="54">
        <f>'DRE '!G32</f>
        <v>0</v>
      </c>
      <c r="H27" s="54">
        <f>'DRE '!H32</f>
        <v>0</v>
      </c>
      <c r="I27" s="54">
        <f>'DRE '!I32</f>
        <v>0</v>
      </c>
      <c r="J27" s="54">
        <f>'DRE '!J32</f>
        <v>0</v>
      </c>
      <c r="K27" s="54">
        <f>'DRE '!K32</f>
        <v>0</v>
      </c>
      <c r="L27" s="54">
        <f>'DRE '!L32</f>
        <v>0</v>
      </c>
      <c r="M27" s="54">
        <f>'DRE '!M32</f>
        <v>0</v>
      </c>
      <c r="N27" s="54">
        <f>'DRE '!N32</f>
        <v>0</v>
      </c>
      <c r="O27" s="54">
        <f>'DRE '!O32</f>
        <v>0</v>
      </c>
      <c r="P27" s="54">
        <f>'DRE '!P32</f>
        <v>0</v>
      </c>
      <c r="Q27" s="54">
        <f>'DRE '!Q32</f>
        <v>0</v>
      </c>
      <c r="R27" s="54">
        <f>'DRE '!R32</f>
        <v>0</v>
      </c>
      <c r="S27" s="54">
        <f>'DRE '!S32</f>
        <v>0</v>
      </c>
      <c r="T27" s="54">
        <f>'DRE '!T32</f>
        <v>0</v>
      </c>
      <c r="U27" s="54">
        <f>'DRE '!U32</f>
        <v>0</v>
      </c>
      <c r="V27" s="54">
        <f>'DRE '!V32</f>
        <v>0</v>
      </c>
      <c r="W27" s="54">
        <f>'DRE '!W32</f>
        <v>0</v>
      </c>
      <c r="X27" s="54">
        <f>'DRE '!X32</f>
        <v>0</v>
      </c>
      <c r="Y27" s="54">
        <f>'DRE '!Y32</f>
        <v>0</v>
      </c>
      <c r="Z27" s="54">
        <f>'DRE '!Z32</f>
        <v>0</v>
      </c>
      <c r="AA27" s="54">
        <f>'DRE '!AA32</f>
        <v>0</v>
      </c>
      <c r="AB27" s="54">
        <f>'DRE '!AB32</f>
        <v>0</v>
      </c>
      <c r="AC27" s="54">
        <f>'DRE '!AC32</f>
        <v>0</v>
      </c>
      <c r="AD27" s="54">
        <f>'DRE '!AD32</f>
        <v>0</v>
      </c>
      <c r="AE27" s="54">
        <f>'DRE '!AE32</f>
        <v>0</v>
      </c>
      <c r="AF27" s="54">
        <f>'DRE '!AF32</f>
        <v>0</v>
      </c>
      <c r="AG27" s="54">
        <f>'DRE '!AG32</f>
        <v>0</v>
      </c>
      <c r="AH27" s="54">
        <f>'DRE '!AH32</f>
        <v>0</v>
      </c>
      <c r="AI27" s="54">
        <f>'DRE '!AI32</f>
        <v>0</v>
      </c>
      <c r="AJ27" s="54">
        <f>'DRE '!AJ32</f>
        <v>0</v>
      </c>
      <c r="AK27" s="54">
        <f>'DRE '!AK32</f>
        <v>0</v>
      </c>
      <c r="AL27" s="54">
        <f>'DRE '!AL32</f>
        <v>0</v>
      </c>
      <c r="AM27" s="54">
        <f>'DRE '!AM32</f>
        <v>0</v>
      </c>
      <c r="AN27" s="54">
        <f>'DRE '!AN32</f>
        <v>0</v>
      </c>
      <c r="AO27" s="54">
        <f>'DRE '!AO32</f>
        <v>0</v>
      </c>
      <c r="AP27" s="54">
        <f>'DRE '!AP32</f>
        <v>0</v>
      </c>
      <c r="AQ27" s="54">
        <f>'DRE '!AQ32</f>
        <v>0</v>
      </c>
      <c r="AR27" s="54">
        <f>'DRE '!AR32</f>
        <v>0</v>
      </c>
      <c r="AS27" s="54">
        <f>'DRE '!AS32</f>
        <v>0</v>
      </c>
      <c r="AT27" s="54">
        <f>'DRE '!AT32</f>
        <v>0</v>
      </c>
      <c r="AU27" s="54">
        <f>'DRE '!AU32</f>
        <v>0</v>
      </c>
      <c r="AV27" s="54">
        <f>'DRE '!AV32</f>
        <v>0</v>
      </c>
      <c r="AW27" s="55">
        <f>'DRE '!AW32</f>
        <v>0</v>
      </c>
      <c r="BC27" s="46"/>
    </row>
    <row r="28" spans="1:55" ht="15.75" customHeight="1" x14ac:dyDescent="0.2">
      <c r="A28" s="56" t="s">
        <v>26</v>
      </c>
      <c r="B28" s="53">
        <f>'DRE '!B33</f>
        <v>0</v>
      </c>
      <c r="C28" s="53">
        <f>'DRE '!C33</f>
        <v>0</v>
      </c>
      <c r="D28" s="53">
        <f>'DRE '!D33</f>
        <v>0</v>
      </c>
      <c r="E28" s="53">
        <f>'DRE '!E33</f>
        <v>0</v>
      </c>
      <c r="F28" s="53">
        <f>'DRE '!F33</f>
        <v>0</v>
      </c>
      <c r="G28" s="54">
        <f>'DRE '!G33</f>
        <v>0</v>
      </c>
      <c r="H28" s="54">
        <f>'DRE '!H33</f>
        <v>0</v>
      </c>
      <c r="I28" s="54">
        <f>'DRE '!I33</f>
        <v>0</v>
      </c>
      <c r="J28" s="54">
        <f>'DRE '!J33</f>
        <v>0</v>
      </c>
      <c r="K28" s="54">
        <f>'DRE '!K33</f>
        <v>0</v>
      </c>
      <c r="L28" s="54">
        <f>'DRE '!L33</f>
        <v>0</v>
      </c>
      <c r="M28" s="54">
        <f>'DRE '!M33</f>
        <v>0</v>
      </c>
      <c r="N28" s="54">
        <f>'DRE '!N33</f>
        <v>0</v>
      </c>
      <c r="O28" s="54">
        <f>'DRE '!O33</f>
        <v>0</v>
      </c>
      <c r="P28" s="54">
        <f>'DRE '!P33</f>
        <v>0</v>
      </c>
      <c r="Q28" s="54">
        <f>'DRE '!Q33</f>
        <v>0</v>
      </c>
      <c r="R28" s="54">
        <f>'DRE '!R33</f>
        <v>0</v>
      </c>
      <c r="S28" s="54">
        <f>'DRE '!S33</f>
        <v>0</v>
      </c>
      <c r="T28" s="54">
        <f>'DRE '!T33</f>
        <v>0</v>
      </c>
      <c r="U28" s="54">
        <f>'DRE '!U33</f>
        <v>0</v>
      </c>
      <c r="V28" s="54">
        <f>'DRE '!V33</f>
        <v>0</v>
      </c>
      <c r="W28" s="54">
        <f>'DRE '!W33</f>
        <v>0</v>
      </c>
      <c r="X28" s="54">
        <f>'DRE '!X33</f>
        <v>0</v>
      </c>
      <c r="Y28" s="54">
        <f>'DRE '!Y33</f>
        <v>0</v>
      </c>
      <c r="Z28" s="54">
        <f>'DRE '!Z33</f>
        <v>0</v>
      </c>
      <c r="AA28" s="54">
        <f>'DRE '!AA33</f>
        <v>0</v>
      </c>
      <c r="AB28" s="54">
        <f>'DRE '!AB33</f>
        <v>0</v>
      </c>
      <c r="AC28" s="54">
        <f>'DRE '!AC33</f>
        <v>0</v>
      </c>
      <c r="AD28" s="54">
        <f>'DRE '!AD33</f>
        <v>0</v>
      </c>
      <c r="AE28" s="54">
        <f>'DRE '!AE33</f>
        <v>0</v>
      </c>
      <c r="AF28" s="54">
        <f>'DRE '!AF33</f>
        <v>0</v>
      </c>
      <c r="AG28" s="54">
        <f>'DRE '!AG33</f>
        <v>0</v>
      </c>
      <c r="AH28" s="54">
        <f>'DRE '!AH33</f>
        <v>0</v>
      </c>
      <c r="AI28" s="54">
        <f>'DRE '!AI33</f>
        <v>0</v>
      </c>
      <c r="AJ28" s="54">
        <f>'DRE '!AJ33</f>
        <v>0</v>
      </c>
      <c r="AK28" s="54">
        <f>'DRE '!AK33</f>
        <v>0</v>
      </c>
      <c r="AL28" s="54">
        <f>'DRE '!AL33</f>
        <v>0</v>
      </c>
      <c r="AM28" s="54">
        <f>'DRE '!AM33</f>
        <v>0</v>
      </c>
      <c r="AN28" s="54">
        <f>'DRE '!AN33</f>
        <v>0</v>
      </c>
      <c r="AO28" s="54">
        <f>'DRE '!AO33</f>
        <v>0</v>
      </c>
      <c r="AP28" s="54">
        <f>'DRE '!AP33</f>
        <v>0</v>
      </c>
      <c r="AQ28" s="54">
        <f>'DRE '!AQ33</f>
        <v>0</v>
      </c>
      <c r="AR28" s="54">
        <f>'DRE '!AR33</f>
        <v>0</v>
      </c>
      <c r="AS28" s="54">
        <f>'DRE '!AS33</f>
        <v>0</v>
      </c>
      <c r="AT28" s="54">
        <f>'DRE '!AT33</f>
        <v>0</v>
      </c>
      <c r="AU28" s="54">
        <f>'DRE '!AU33</f>
        <v>0</v>
      </c>
      <c r="AV28" s="54">
        <f>'DRE '!AV33</f>
        <v>0</v>
      </c>
      <c r="AW28" s="55">
        <f>'DRE '!AW33</f>
        <v>0</v>
      </c>
      <c r="BC28" s="46"/>
    </row>
    <row r="29" spans="1:55" ht="15.75" customHeight="1" x14ac:dyDescent="0.2">
      <c r="A29" s="58" t="s">
        <v>112</v>
      </c>
      <c r="B29" s="49">
        <f>'DRE '!B34</f>
        <v>0</v>
      </c>
      <c r="C29" s="49">
        <f>'DRE '!C34</f>
        <v>0</v>
      </c>
      <c r="D29" s="49">
        <f>'DRE '!D34</f>
        <v>0</v>
      </c>
      <c r="E29" s="49">
        <f>'DRE '!E34</f>
        <v>0</v>
      </c>
      <c r="F29" s="49">
        <f>'DRE '!F34</f>
        <v>0</v>
      </c>
      <c r="G29" s="49">
        <f>'DRE '!G34</f>
        <v>0</v>
      </c>
      <c r="H29" s="49">
        <f>'DRE '!H34</f>
        <v>0</v>
      </c>
      <c r="I29" s="49">
        <f>'DRE '!I34</f>
        <v>0</v>
      </c>
      <c r="J29" s="49">
        <f>'DRE '!J34</f>
        <v>0</v>
      </c>
      <c r="K29" s="49">
        <f>'DRE '!K34</f>
        <v>0</v>
      </c>
      <c r="L29" s="49">
        <f>'DRE '!L34</f>
        <v>0</v>
      </c>
      <c r="M29" s="49">
        <f>'DRE '!M34</f>
        <v>0</v>
      </c>
      <c r="N29" s="49">
        <f>'DRE '!N34</f>
        <v>0</v>
      </c>
      <c r="O29" s="49">
        <f>'DRE '!O34</f>
        <v>0</v>
      </c>
      <c r="P29" s="49">
        <f>'DRE '!P34</f>
        <v>0</v>
      </c>
      <c r="Q29" s="49">
        <f>'DRE '!Q34</f>
        <v>0</v>
      </c>
      <c r="R29" s="49">
        <f>'DRE '!R34</f>
        <v>0</v>
      </c>
      <c r="S29" s="49">
        <f>'DRE '!S34</f>
        <v>0</v>
      </c>
      <c r="T29" s="49">
        <f>'DRE '!T34</f>
        <v>0</v>
      </c>
      <c r="U29" s="49">
        <f>'DRE '!U34</f>
        <v>0</v>
      </c>
      <c r="V29" s="49">
        <f>'DRE '!V34</f>
        <v>0</v>
      </c>
      <c r="W29" s="49">
        <f>'DRE '!W34</f>
        <v>0</v>
      </c>
      <c r="X29" s="49">
        <f>'DRE '!X34</f>
        <v>0</v>
      </c>
      <c r="Y29" s="49">
        <f>'DRE '!Y34</f>
        <v>0</v>
      </c>
      <c r="Z29" s="49">
        <f>'DRE '!Z34</f>
        <v>0</v>
      </c>
      <c r="AA29" s="49">
        <f>'DRE '!AA34</f>
        <v>0</v>
      </c>
      <c r="AB29" s="49">
        <f>'DRE '!AB34</f>
        <v>0</v>
      </c>
      <c r="AC29" s="49">
        <f>'DRE '!AC34</f>
        <v>0</v>
      </c>
      <c r="AD29" s="49">
        <f>'DRE '!AD34</f>
        <v>0</v>
      </c>
      <c r="AE29" s="49">
        <f>'DRE '!AE34</f>
        <v>0</v>
      </c>
      <c r="AF29" s="49">
        <f>'DRE '!AF34</f>
        <v>0</v>
      </c>
      <c r="AG29" s="49">
        <f>'DRE '!AG34</f>
        <v>0</v>
      </c>
      <c r="AH29" s="49">
        <f>'DRE '!AH34</f>
        <v>0</v>
      </c>
      <c r="AI29" s="49">
        <f>'DRE '!AI34</f>
        <v>0</v>
      </c>
      <c r="AJ29" s="49">
        <f>'DRE '!AJ34</f>
        <v>0</v>
      </c>
      <c r="AK29" s="49">
        <f>'DRE '!AK34</f>
        <v>0</v>
      </c>
      <c r="AL29" s="49">
        <f>'DRE '!AL34</f>
        <v>0</v>
      </c>
      <c r="AM29" s="49">
        <f>'DRE '!AM34</f>
        <v>0</v>
      </c>
      <c r="AN29" s="49">
        <f>'DRE '!AN34</f>
        <v>0</v>
      </c>
      <c r="AO29" s="49">
        <f>'DRE '!AO34</f>
        <v>0</v>
      </c>
      <c r="AP29" s="49">
        <f>'DRE '!AP34</f>
        <v>0</v>
      </c>
      <c r="AQ29" s="49">
        <f>'DRE '!AQ34</f>
        <v>0</v>
      </c>
      <c r="AR29" s="49">
        <f>'DRE '!AR34</f>
        <v>0</v>
      </c>
      <c r="AS29" s="49">
        <f>'DRE '!AS34</f>
        <v>0</v>
      </c>
      <c r="AT29" s="49">
        <f>'DRE '!AT34</f>
        <v>0</v>
      </c>
      <c r="AU29" s="49">
        <f>'DRE '!AU34</f>
        <v>0</v>
      </c>
      <c r="AV29" s="49">
        <f>'DRE '!AV34</f>
        <v>0</v>
      </c>
      <c r="AW29" s="49">
        <f>'DRE '!AW34</f>
        <v>0</v>
      </c>
      <c r="BC29" s="46"/>
    </row>
    <row r="30" spans="1:55" ht="15.75" customHeight="1" x14ac:dyDescent="0.2">
      <c r="A30" s="58" t="s">
        <v>22</v>
      </c>
      <c r="B30" s="53">
        <f>'DRE '!B35</f>
        <v>0</v>
      </c>
      <c r="C30" s="53">
        <f>'DRE '!C35</f>
        <v>0</v>
      </c>
      <c r="D30" s="53">
        <f>'DRE '!D35</f>
        <v>0</v>
      </c>
      <c r="E30" s="53">
        <f>'DRE '!E35</f>
        <v>0</v>
      </c>
      <c r="F30" s="53">
        <f>'DRE '!F35</f>
        <v>0</v>
      </c>
      <c r="G30" s="54">
        <f>'DRE '!G35</f>
        <v>0</v>
      </c>
      <c r="H30" s="54">
        <f>'DRE '!H35</f>
        <v>0</v>
      </c>
      <c r="I30" s="54">
        <f>'DRE '!I35</f>
        <v>0</v>
      </c>
      <c r="J30" s="54">
        <f>'DRE '!J35</f>
        <v>0</v>
      </c>
      <c r="K30" s="54">
        <f>'DRE '!K35</f>
        <v>0</v>
      </c>
      <c r="L30" s="54">
        <f>'DRE '!L35</f>
        <v>0</v>
      </c>
      <c r="M30" s="54">
        <f>'DRE '!M35</f>
        <v>0</v>
      </c>
      <c r="N30" s="54">
        <f>'DRE '!N35</f>
        <v>0</v>
      </c>
      <c r="O30" s="54">
        <f>'DRE '!O35</f>
        <v>0</v>
      </c>
      <c r="P30" s="54">
        <f>'DRE '!P35</f>
        <v>0</v>
      </c>
      <c r="Q30" s="54">
        <f>'DRE '!Q35</f>
        <v>0</v>
      </c>
      <c r="R30" s="54">
        <f>'DRE '!R35</f>
        <v>0</v>
      </c>
      <c r="S30" s="54">
        <f>'DRE '!S35</f>
        <v>0</v>
      </c>
      <c r="T30" s="54">
        <f>'DRE '!T35</f>
        <v>0</v>
      </c>
      <c r="U30" s="54">
        <f>'DRE '!U35</f>
        <v>0</v>
      </c>
      <c r="V30" s="54">
        <f>'DRE '!V35</f>
        <v>0</v>
      </c>
      <c r="W30" s="54">
        <f>'DRE '!W35</f>
        <v>0</v>
      </c>
      <c r="X30" s="54">
        <f>'DRE '!X35</f>
        <v>0</v>
      </c>
      <c r="Y30" s="54">
        <f>'DRE '!Y35</f>
        <v>0</v>
      </c>
      <c r="Z30" s="54">
        <f>'DRE '!Z35</f>
        <v>0</v>
      </c>
      <c r="AA30" s="54">
        <f>'DRE '!AA35</f>
        <v>0</v>
      </c>
      <c r="AB30" s="54">
        <f>'DRE '!AB35</f>
        <v>0</v>
      </c>
      <c r="AC30" s="54">
        <f>'DRE '!AC35</f>
        <v>0</v>
      </c>
      <c r="AD30" s="54">
        <f>'DRE '!AD35</f>
        <v>0</v>
      </c>
      <c r="AE30" s="54">
        <f>'DRE '!AE35</f>
        <v>0</v>
      </c>
      <c r="AF30" s="54">
        <f>'DRE '!AF35</f>
        <v>0</v>
      </c>
      <c r="AG30" s="54">
        <f>'DRE '!AG35</f>
        <v>0</v>
      </c>
      <c r="AH30" s="54">
        <f>'DRE '!AH35</f>
        <v>0</v>
      </c>
      <c r="AI30" s="54">
        <f>'DRE '!AI35</f>
        <v>0</v>
      </c>
      <c r="AJ30" s="54">
        <f>'DRE '!AJ35</f>
        <v>0</v>
      </c>
      <c r="AK30" s="54">
        <f>'DRE '!AK35</f>
        <v>0</v>
      </c>
      <c r="AL30" s="54">
        <f>'DRE '!AL35</f>
        <v>0</v>
      </c>
      <c r="AM30" s="54">
        <f>'DRE '!AM35</f>
        <v>0</v>
      </c>
      <c r="AN30" s="54">
        <f>'DRE '!AN35</f>
        <v>0</v>
      </c>
      <c r="AO30" s="54">
        <f>'DRE '!AO35</f>
        <v>0</v>
      </c>
      <c r="AP30" s="54">
        <f>'DRE '!AP35</f>
        <v>0</v>
      </c>
      <c r="AQ30" s="54">
        <f>'DRE '!AQ35</f>
        <v>0</v>
      </c>
      <c r="AR30" s="54">
        <f>'DRE '!AR35</f>
        <v>0</v>
      </c>
      <c r="AS30" s="54">
        <f>'DRE '!AS35</f>
        <v>0</v>
      </c>
      <c r="AT30" s="54">
        <f>'DRE '!AT35</f>
        <v>0</v>
      </c>
      <c r="AU30" s="54">
        <f>'DRE '!AU35</f>
        <v>0</v>
      </c>
      <c r="AV30" s="54">
        <f>'DRE '!AV35</f>
        <v>0</v>
      </c>
      <c r="AW30" s="55">
        <f>'DRE '!AW35</f>
        <v>0</v>
      </c>
      <c r="BC30" s="46"/>
    </row>
    <row r="31" spans="1:55" ht="15.75" customHeight="1" x14ac:dyDescent="0.2">
      <c r="A31" s="59" t="s">
        <v>23</v>
      </c>
      <c r="B31" s="53">
        <f>'DRE '!B36</f>
        <v>0</v>
      </c>
      <c r="C31" s="53">
        <f>'DRE '!C36</f>
        <v>0</v>
      </c>
      <c r="D31" s="53">
        <f>'DRE '!D36</f>
        <v>0</v>
      </c>
      <c r="E31" s="53">
        <f>'DRE '!E36</f>
        <v>0</v>
      </c>
      <c r="F31" s="53">
        <f>'DRE '!F36</f>
        <v>0</v>
      </c>
      <c r="G31" s="54">
        <f>'DRE '!G36</f>
        <v>0</v>
      </c>
      <c r="H31" s="54">
        <f>'DRE '!H36</f>
        <v>0</v>
      </c>
      <c r="I31" s="54">
        <f>'DRE '!I36</f>
        <v>0</v>
      </c>
      <c r="J31" s="54">
        <f>'DRE '!J36</f>
        <v>0</v>
      </c>
      <c r="K31" s="54">
        <f>'DRE '!K36</f>
        <v>0</v>
      </c>
      <c r="L31" s="54">
        <f>'DRE '!L36</f>
        <v>0</v>
      </c>
      <c r="M31" s="54">
        <f>'DRE '!M36</f>
        <v>0</v>
      </c>
      <c r="N31" s="54">
        <f>'DRE '!N36</f>
        <v>0</v>
      </c>
      <c r="O31" s="54">
        <f>'DRE '!O36</f>
        <v>0</v>
      </c>
      <c r="P31" s="54">
        <f>'DRE '!P36</f>
        <v>0</v>
      </c>
      <c r="Q31" s="54">
        <f>'DRE '!Q36</f>
        <v>0</v>
      </c>
      <c r="R31" s="54">
        <f>'DRE '!R36</f>
        <v>0</v>
      </c>
      <c r="S31" s="54">
        <f>'DRE '!S36</f>
        <v>0</v>
      </c>
      <c r="T31" s="54">
        <f>'DRE '!T36</f>
        <v>0</v>
      </c>
      <c r="U31" s="54">
        <f>'DRE '!U36</f>
        <v>0</v>
      </c>
      <c r="V31" s="54">
        <f>'DRE '!V36</f>
        <v>0</v>
      </c>
      <c r="W31" s="54">
        <f>'DRE '!W36</f>
        <v>0</v>
      </c>
      <c r="X31" s="54">
        <f>'DRE '!X36</f>
        <v>0</v>
      </c>
      <c r="Y31" s="54">
        <f>'DRE '!Y36</f>
        <v>0</v>
      </c>
      <c r="Z31" s="54">
        <f>'DRE '!Z36</f>
        <v>0</v>
      </c>
      <c r="AA31" s="54">
        <f>'DRE '!AA36</f>
        <v>0</v>
      </c>
      <c r="AB31" s="54">
        <f>'DRE '!AB36</f>
        <v>0</v>
      </c>
      <c r="AC31" s="54">
        <f>'DRE '!AC36</f>
        <v>0</v>
      </c>
      <c r="AD31" s="54">
        <f>'DRE '!AD36</f>
        <v>0</v>
      </c>
      <c r="AE31" s="54">
        <f>'DRE '!AE36</f>
        <v>0</v>
      </c>
      <c r="AF31" s="54">
        <f>'DRE '!AF36</f>
        <v>0</v>
      </c>
      <c r="AG31" s="54">
        <f>'DRE '!AG36</f>
        <v>0</v>
      </c>
      <c r="AH31" s="54">
        <f>'DRE '!AH36</f>
        <v>0</v>
      </c>
      <c r="AI31" s="54">
        <f>'DRE '!AI36</f>
        <v>0</v>
      </c>
      <c r="AJ31" s="54">
        <f>'DRE '!AJ36</f>
        <v>0</v>
      </c>
      <c r="AK31" s="54">
        <f>'DRE '!AK36</f>
        <v>0</v>
      </c>
      <c r="AL31" s="54">
        <f>'DRE '!AL36</f>
        <v>0</v>
      </c>
      <c r="AM31" s="54">
        <f>'DRE '!AM36</f>
        <v>0</v>
      </c>
      <c r="AN31" s="54">
        <f>'DRE '!AN36</f>
        <v>0</v>
      </c>
      <c r="AO31" s="54">
        <f>'DRE '!AO36</f>
        <v>0</v>
      </c>
      <c r="AP31" s="54">
        <f>'DRE '!AP36</f>
        <v>0</v>
      </c>
      <c r="AQ31" s="54">
        <f>'DRE '!AQ36</f>
        <v>0</v>
      </c>
      <c r="AR31" s="54">
        <f>'DRE '!AR36</f>
        <v>0</v>
      </c>
      <c r="AS31" s="54">
        <f>'DRE '!AS36</f>
        <v>0</v>
      </c>
      <c r="AT31" s="54">
        <f>'DRE '!AT36</f>
        <v>0</v>
      </c>
      <c r="AU31" s="54">
        <f>'DRE '!AU36</f>
        <v>0</v>
      </c>
      <c r="AV31" s="54">
        <f>'DRE '!AV36</f>
        <v>0</v>
      </c>
      <c r="AW31" s="55">
        <f>'DRE '!AW36</f>
        <v>0</v>
      </c>
      <c r="BC31" s="46"/>
    </row>
    <row r="32" spans="1:55" ht="15.75" customHeight="1" x14ac:dyDescent="0.2">
      <c r="A32" s="58" t="s">
        <v>24</v>
      </c>
      <c r="B32" s="53">
        <f>'DRE '!B37</f>
        <v>0</v>
      </c>
      <c r="C32" s="53">
        <f>'DRE '!C37</f>
        <v>0</v>
      </c>
      <c r="D32" s="53">
        <f>'DRE '!D37</f>
        <v>0</v>
      </c>
      <c r="E32" s="53">
        <f>'DRE '!E37</f>
        <v>0</v>
      </c>
      <c r="F32" s="53">
        <f>'DRE '!F37</f>
        <v>0</v>
      </c>
      <c r="G32" s="54">
        <f>'DRE '!G37</f>
        <v>0</v>
      </c>
      <c r="H32" s="54">
        <f>'DRE '!H37</f>
        <v>0</v>
      </c>
      <c r="I32" s="54">
        <f>'DRE '!I37</f>
        <v>0</v>
      </c>
      <c r="J32" s="54">
        <f>'DRE '!J37</f>
        <v>0</v>
      </c>
      <c r="K32" s="54">
        <f>'DRE '!K37</f>
        <v>0</v>
      </c>
      <c r="L32" s="54">
        <f>'DRE '!L37</f>
        <v>0</v>
      </c>
      <c r="M32" s="54">
        <f>'DRE '!M37</f>
        <v>0</v>
      </c>
      <c r="N32" s="54">
        <f>'DRE '!N37</f>
        <v>0</v>
      </c>
      <c r="O32" s="54">
        <f>'DRE '!O37</f>
        <v>0</v>
      </c>
      <c r="P32" s="54">
        <f>'DRE '!P37</f>
        <v>0</v>
      </c>
      <c r="Q32" s="54">
        <f>'DRE '!Q37</f>
        <v>0</v>
      </c>
      <c r="R32" s="54">
        <f>'DRE '!R37</f>
        <v>0</v>
      </c>
      <c r="S32" s="54">
        <f>'DRE '!S37</f>
        <v>0</v>
      </c>
      <c r="T32" s="54">
        <f>'DRE '!T37</f>
        <v>0</v>
      </c>
      <c r="U32" s="54">
        <f>'DRE '!U37</f>
        <v>0</v>
      </c>
      <c r="V32" s="54">
        <f>'DRE '!V37</f>
        <v>0</v>
      </c>
      <c r="W32" s="54">
        <f>'DRE '!W37</f>
        <v>0</v>
      </c>
      <c r="X32" s="54">
        <f>'DRE '!X37</f>
        <v>0</v>
      </c>
      <c r="Y32" s="54">
        <f>'DRE '!Y37</f>
        <v>0</v>
      </c>
      <c r="Z32" s="54">
        <f>'DRE '!Z37</f>
        <v>0</v>
      </c>
      <c r="AA32" s="54">
        <f>'DRE '!AA37</f>
        <v>0</v>
      </c>
      <c r="AB32" s="54">
        <f>'DRE '!AB37</f>
        <v>0</v>
      </c>
      <c r="AC32" s="54">
        <f>'DRE '!AC37</f>
        <v>0</v>
      </c>
      <c r="AD32" s="54">
        <f>'DRE '!AD37</f>
        <v>0</v>
      </c>
      <c r="AE32" s="54">
        <f>'DRE '!AE37</f>
        <v>0</v>
      </c>
      <c r="AF32" s="54">
        <f>'DRE '!AF37</f>
        <v>0</v>
      </c>
      <c r="AG32" s="54">
        <f>'DRE '!AG37</f>
        <v>0</v>
      </c>
      <c r="AH32" s="54">
        <f>'DRE '!AH37</f>
        <v>0</v>
      </c>
      <c r="AI32" s="54">
        <f>'DRE '!AI37</f>
        <v>0</v>
      </c>
      <c r="AJ32" s="54">
        <f>'DRE '!AJ37</f>
        <v>0</v>
      </c>
      <c r="AK32" s="54">
        <f>'DRE '!AK37</f>
        <v>0</v>
      </c>
      <c r="AL32" s="54">
        <f>'DRE '!AL37</f>
        <v>0</v>
      </c>
      <c r="AM32" s="54">
        <f>'DRE '!AM37</f>
        <v>0</v>
      </c>
      <c r="AN32" s="54">
        <f>'DRE '!AN37</f>
        <v>0</v>
      </c>
      <c r="AO32" s="54">
        <f>'DRE '!AO37</f>
        <v>0</v>
      </c>
      <c r="AP32" s="54">
        <f>'DRE '!AP37</f>
        <v>0</v>
      </c>
      <c r="AQ32" s="54">
        <f>'DRE '!AQ37</f>
        <v>0</v>
      </c>
      <c r="AR32" s="54">
        <f>'DRE '!AR37</f>
        <v>0</v>
      </c>
      <c r="AS32" s="54">
        <f>'DRE '!AS37</f>
        <v>0</v>
      </c>
      <c r="AT32" s="54">
        <f>'DRE '!AT37</f>
        <v>0</v>
      </c>
      <c r="AU32" s="54">
        <f>'DRE '!AU37</f>
        <v>0</v>
      </c>
      <c r="AV32" s="54">
        <f>'DRE '!AV37</f>
        <v>0</v>
      </c>
      <c r="AW32" s="55">
        <f>'DRE '!AW37</f>
        <v>0</v>
      </c>
      <c r="BC32" s="46"/>
    </row>
    <row r="33" spans="1:55" ht="15.75" customHeight="1" x14ac:dyDescent="0.2">
      <c r="A33" s="48" t="s">
        <v>27</v>
      </c>
      <c r="B33" s="53">
        <f>'DRE '!B38</f>
        <v>0</v>
      </c>
      <c r="C33" s="53">
        <f>'DRE '!C38</f>
        <v>0</v>
      </c>
      <c r="D33" s="53">
        <f>'DRE '!D38</f>
        <v>0</v>
      </c>
      <c r="E33" s="53">
        <f>'DRE '!E38</f>
        <v>0</v>
      </c>
      <c r="F33" s="53">
        <f>'DRE '!F38</f>
        <v>0</v>
      </c>
      <c r="G33" s="54">
        <f>'DRE '!G38</f>
        <v>0</v>
      </c>
      <c r="H33" s="54">
        <f>'DRE '!H38</f>
        <v>0</v>
      </c>
      <c r="I33" s="54">
        <f>'DRE '!I38</f>
        <v>0</v>
      </c>
      <c r="J33" s="54">
        <f>'DRE '!J38</f>
        <v>0</v>
      </c>
      <c r="K33" s="54">
        <f>'DRE '!K38</f>
        <v>0</v>
      </c>
      <c r="L33" s="54">
        <f>'DRE '!L38</f>
        <v>0</v>
      </c>
      <c r="M33" s="54">
        <f>'DRE '!M38</f>
        <v>0</v>
      </c>
      <c r="N33" s="54">
        <f>'DRE '!N38</f>
        <v>0</v>
      </c>
      <c r="O33" s="54">
        <f>'DRE '!O38</f>
        <v>0</v>
      </c>
      <c r="P33" s="54">
        <f>'DRE '!P38</f>
        <v>0</v>
      </c>
      <c r="Q33" s="54">
        <f>'DRE '!Q38</f>
        <v>0</v>
      </c>
      <c r="R33" s="54">
        <f>'DRE '!R38</f>
        <v>0</v>
      </c>
      <c r="S33" s="54">
        <f>'DRE '!S38</f>
        <v>0</v>
      </c>
      <c r="T33" s="54">
        <f>'DRE '!T38</f>
        <v>0</v>
      </c>
      <c r="U33" s="54">
        <f>'DRE '!U38</f>
        <v>0</v>
      </c>
      <c r="V33" s="54">
        <f>'DRE '!V38</f>
        <v>0</v>
      </c>
      <c r="W33" s="54">
        <f>'DRE '!W38</f>
        <v>0</v>
      </c>
      <c r="X33" s="54">
        <f>'DRE '!X38</f>
        <v>0</v>
      </c>
      <c r="Y33" s="54">
        <f>'DRE '!Y38</f>
        <v>0</v>
      </c>
      <c r="Z33" s="54">
        <f>'DRE '!Z38</f>
        <v>0</v>
      </c>
      <c r="AA33" s="54">
        <f>'DRE '!AA38</f>
        <v>0</v>
      </c>
      <c r="AB33" s="54">
        <f>'DRE '!AB38</f>
        <v>0</v>
      </c>
      <c r="AC33" s="54">
        <f>'DRE '!AC38</f>
        <v>0</v>
      </c>
      <c r="AD33" s="54">
        <f>'DRE '!AD38</f>
        <v>0</v>
      </c>
      <c r="AE33" s="54">
        <f>'DRE '!AE38</f>
        <v>0</v>
      </c>
      <c r="AF33" s="54">
        <f>'DRE '!AF38</f>
        <v>0</v>
      </c>
      <c r="AG33" s="54">
        <f>'DRE '!AG38</f>
        <v>0</v>
      </c>
      <c r="AH33" s="54">
        <f>'DRE '!AH38</f>
        <v>0</v>
      </c>
      <c r="AI33" s="54">
        <f>'DRE '!AI38</f>
        <v>0</v>
      </c>
      <c r="AJ33" s="54">
        <f>'DRE '!AJ38</f>
        <v>0</v>
      </c>
      <c r="AK33" s="54">
        <f>'DRE '!AK38</f>
        <v>0</v>
      </c>
      <c r="AL33" s="54">
        <f>'DRE '!AL38</f>
        <v>0</v>
      </c>
      <c r="AM33" s="54">
        <f>'DRE '!AM38</f>
        <v>0</v>
      </c>
      <c r="AN33" s="54">
        <f>'DRE '!AN38</f>
        <v>0</v>
      </c>
      <c r="AO33" s="54">
        <f>'DRE '!AO38</f>
        <v>0</v>
      </c>
      <c r="AP33" s="54">
        <f>'DRE '!AP38</f>
        <v>0</v>
      </c>
      <c r="AQ33" s="54">
        <f>'DRE '!AQ38</f>
        <v>0</v>
      </c>
      <c r="AR33" s="54">
        <f>'DRE '!AR38</f>
        <v>0</v>
      </c>
      <c r="AS33" s="54">
        <f>'DRE '!AS38</f>
        <v>0</v>
      </c>
      <c r="AT33" s="54">
        <f>'DRE '!AT38</f>
        <v>0</v>
      </c>
      <c r="AU33" s="54">
        <f>'DRE '!AU38</f>
        <v>0</v>
      </c>
      <c r="AV33" s="54">
        <f>'DRE '!AV38</f>
        <v>0</v>
      </c>
      <c r="AW33" s="55">
        <f>'DRE '!AW38</f>
        <v>0</v>
      </c>
      <c r="BC33" s="46"/>
    </row>
    <row r="34" spans="1:55" ht="15.75" customHeight="1" x14ac:dyDescent="0.2">
      <c r="A34" s="56" t="s">
        <v>28</v>
      </c>
      <c r="B34" s="53">
        <f>'DRE '!B39</f>
        <v>0</v>
      </c>
      <c r="C34" s="53">
        <f>'DRE '!C39</f>
        <v>0</v>
      </c>
      <c r="D34" s="53">
        <f>'DRE '!D39</f>
        <v>0</v>
      </c>
      <c r="E34" s="53">
        <f>'DRE '!E39</f>
        <v>0</v>
      </c>
      <c r="F34" s="53">
        <f>'DRE '!F39</f>
        <v>0</v>
      </c>
      <c r="G34" s="54">
        <f>'DRE '!G39</f>
        <v>0</v>
      </c>
      <c r="H34" s="54">
        <f>'DRE '!H39</f>
        <v>0</v>
      </c>
      <c r="I34" s="54">
        <f>'DRE '!I39</f>
        <v>0</v>
      </c>
      <c r="J34" s="54">
        <f>'DRE '!J39</f>
        <v>0</v>
      </c>
      <c r="K34" s="54">
        <f>'DRE '!K39</f>
        <v>0</v>
      </c>
      <c r="L34" s="54">
        <f>'DRE '!L39</f>
        <v>0</v>
      </c>
      <c r="M34" s="54">
        <f>'DRE '!M39</f>
        <v>0</v>
      </c>
      <c r="N34" s="54">
        <f>'DRE '!N39</f>
        <v>0</v>
      </c>
      <c r="O34" s="54">
        <f>'DRE '!O39</f>
        <v>0</v>
      </c>
      <c r="P34" s="54">
        <f>'DRE '!P39</f>
        <v>0</v>
      </c>
      <c r="Q34" s="54">
        <f>'DRE '!Q39</f>
        <v>0</v>
      </c>
      <c r="R34" s="54">
        <f>'DRE '!R39</f>
        <v>0</v>
      </c>
      <c r="S34" s="54">
        <f>'DRE '!S39</f>
        <v>0</v>
      </c>
      <c r="T34" s="54">
        <f>'DRE '!T39</f>
        <v>0</v>
      </c>
      <c r="U34" s="54">
        <f>'DRE '!U39</f>
        <v>0</v>
      </c>
      <c r="V34" s="54">
        <f>'DRE '!V39</f>
        <v>0</v>
      </c>
      <c r="W34" s="54">
        <f>'DRE '!W39</f>
        <v>0</v>
      </c>
      <c r="X34" s="54">
        <f>'DRE '!X39</f>
        <v>0</v>
      </c>
      <c r="Y34" s="54">
        <f>'DRE '!Y39</f>
        <v>0</v>
      </c>
      <c r="Z34" s="54">
        <f>'DRE '!Z39</f>
        <v>0</v>
      </c>
      <c r="AA34" s="54">
        <f>'DRE '!AA39</f>
        <v>0</v>
      </c>
      <c r="AB34" s="54">
        <f>'DRE '!AB39</f>
        <v>0</v>
      </c>
      <c r="AC34" s="54">
        <f>'DRE '!AC39</f>
        <v>0</v>
      </c>
      <c r="AD34" s="54">
        <f>'DRE '!AD39</f>
        <v>0</v>
      </c>
      <c r="AE34" s="54">
        <f>'DRE '!AE39</f>
        <v>0</v>
      </c>
      <c r="AF34" s="54">
        <f>'DRE '!AF39</f>
        <v>0</v>
      </c>
      <c r="AG34" s="54">
        <f>'DRE '!AG39</f>
        <v>0</v>
      </c>
      <c r="AH34" s="54">
        <f>'DRE '!AH39</f>
        <v>0</v>
      </c>
      <c r="AI34" s="54">
        <f>'DRE '!AI39</f>
        <v>0</v>
      </c>
      <c r="AJ34" s="54">
        <f>'DRE '!AJ39</f>
        <v>0</v>
      </c>
      <c r="AK34" s="54">
        <f>'DRE '!AK39</f>
        <v>0</v>
      </c>
      <c r="AL34" s="54">
        <f>'DRE '!AL39</f>
        <v>0</v>
      </c>
      <c r="AM34" s="54">
        <f>'DRE '!AM39</f>
        <v>0</v>
      </c>
      <c r="AN34" s="54">
        <f>'DRE '!AN39</f>
        <v>0</v>
      </c>
      <c r="AO34" s="54">
        <f>'DRE '!AO39</f>
        <v>0</v>
      </c>
      <c r="AP34" s="54">
        <f>'DRE '!AP39</f>
        <v>0</v>
      </c>
      <c r="AQ34" s="54">
        <f>'DRE '!AQ39</f>
        <v>0</v>
      </c>
      <c r="AR34" s="54">
        <f>'DRE '!AR39</f>
        <v>0</v>
      </c>
      <c r="AS34" s="54">
        <f>'DRE '!AS39</f>
        <v>0</v>
      </c>
      <c r="AT34" s="54">
        <f>'DRE '!AT39</f>
        <v>0</v>
      </c>
      <c r="AU34" s="54">
        <f>'DRE '!AU39</f>
        <v>0</v>
      </c>
      <c r="AV34" s="54">
        <f>'DRE '!AV39</f>
        <v>0</v>
      </c>
      <c r="AW34" s="55">
        <f>'DRE '!AW39</f>
        <v>0</v>
      </c>
      <c r="BC34" s="46"/>
    </row>
    <row r="35" spans="1:55" ht="15.75" customHeight="1" x14ac:dyDescent="0.2">
      <c r="A35" s="57" t="s">
        <v>29</v>
      </c>
      <c r="B35" s="51">
        <f>'DRE '!B40</f>
        <v>0</v>
      </c>
      <c r="C35" s="51">
        <f>'DRE '!C40</f>
        <v>0</v>
      </c>
      <c r="D35" s="51">
        <f>'DRE '!D40</f>
        <v>0</v>
      </c>
      <c r="E35" s="51">
        <f>'DRE '!E40</f>
        <v>0</v>
      </c>
      <c r="F35" s="51">
        <f>'DRE '!F40</f>
        <v>0</v>
      </c>
      <c r="G35" s="51">
        <f>'DRE '!G40</f>
        <v>0</v>
      </c>
      <c r="H35" s="51">
        <f>'DRE '!H40</f>
        <v>0</v>
      </c>
      <c r="I35" s="51">
        <f>'DRE '!I40</f>
        <v>0</v>
      </c>
      <c r="J35" s="51">
        <f>'DRE '!J40</f>
        <v>0</v>
      </c>
      <c r="K35" s="51">
        <f>'DRE '!K40</f>
        <v>0</v>
      </c>
      <c r="L35" s="51">
        <f>'DRE '!L40</f>
        <v>0</v>
      </c>
      <c r="M35" s="51">
        <f>'DRE '!M40</f>
        <v>0</v>
      </c>
      <c r="N35" s="51">
        <f>'DRE '!N40</f>
        <v>0</v>
      </c>
      <c r="O35" s="51">
        <f>'DRE '!O40</f>
        <v>0</v>
      </c>
      <c r="P35" s="51">
        <f>'DRE '!P40</f>
        <v>0</v>
      </c>
      <c r="Q35" s="51">
        <f>'DRE '!Q40</f>
        <v>0</v>
      </c>
      <c r="R35" s="51">
        <f>'DRE '!R40</f>
        <v>0</v>
      </c>
      <c r="S35" s="51">
        <f>'DRE '!S40</f>
        <v>0</v>
      </c>
      <c r="T35" s="51">
        <f>'DRE '!T40</f>
        <v>0</v>
      </c>
      <c r="U35" s="51">
        <f>'DRE '!U40</f>
        <v>0</v>
      </c>
      <c r="V35" s="51">
        <f>'DRE '!V40</f>
        <v>0</v>
      </c>
      <c r="W35" s="51">
        <f>'DRE '!W40</f>
        <v>0</v>
      </c>
      <c r="X35" s="51">
        <f>'DRE '!X40</f>
        <v>0</v>
      </c>
      <c r="Y35" s="51">
        <f>'DRE '!Y40</f>
        <v>0</v>
      </c>
      <c r="Z35" s="51">
        <f>'DRE '!Z40</f>
        <v>0</v>
      </c>
      <c r="AA35" s="51">
        <f>'DRE '!AA40</f>
        <v>0</v>
      </c>
      <c r="AB35" s="51">
        <f>'DRE '!AB40</f>
        <v>0</v>
      </c>
      <c r="AC35" s="51">
        <f>'DRE '!AC40</f>
        <v>0</v>
      </c>
      <c r="AD35" s="51">
        <f>'DRE '!AD40</f>
        <v>0</v>
      </c>
      <c r="AE35" s="51">
        <f>'DRE '!AE40</f>
        <v>0</v>
      </c>
      <c r="AF35" s="51">
        <f>'DRE '!AF40</f>
        <v>0</v>
      </c>
      <c r="AG35" s="51">
        <f>'DRE '!AG40</f>
        <v>0</v>
      </c>
      <c r="AH35" s="51">
        <f>'DRE '!AH40</f>
        <v>0</v>
      </c>
      <c r="AI35" s="51">
        <f>'DRE '!AI40</f>
        <v>0</v>
      </c>
      <c r="AJ35" s="51">
        <f>'DRE '!AJ40</f>
        <v>0</v>
      </c>
      <c r="AK35" s="51">
        <f>'DRE '!AK40</f>
        <v>0</v>
      </c>
      <c r="AL35" s="51">
        <f>'DRE '!AL40</f>
        <v>0</v>
      </c>
      <c r="AM35" s="51">
        <f>'DRE '!AM40</f>
        <v>0</v>
      </c>
      <c r="AN35" s="51">
        <f>'DRE '!AN40</f>
        <v>0</v>
      </c>
      <c r="AO35" s="51">
        <f>'DRE '!AO40</f>
        <v>0</v>
      </c>
      <c r="AP35" s="51">
        <f>'DRE '!AP40</f>
        <v>0</v>
      </c>
      <c r="AQ35" s="51">
        <f>'DRE '!AQ40</f>
        <v>0</v>
      </c>
      <c r="AR35" s="51">
        <f>'DRE '!AR40</f>
        <v>0</v>
      </c>
      <c r="AS35" s="51">
        <f>'DRE '!AS40</f>
        <v>0</v>
      </c>
      <c r="AT35" s="51">
        <f>'DRE '!AT40</f>
        <v>0</v>
      </c>
      <c r="AU35" s="51">
        <f>'DRE '!AU40</f>
        <v>0</v>
      </c>
      <c r="AV35" s="51">
        <f>'DRE '!AV40</f>
        <v>0</v>
      </c>
      <c r="AW35" s="52">
        <f>'DRE '!AW40</f>
        <v>0</v>
      </c>
      <c r="BC35" s="46"/>
    </row>
    <row r="36" spans="1:55" ht="15.75" customHeight="1" x14ac:dyDescent="0.2">
      <c r="A36" s="50" t="s">
        <v>30</v>
      </c>
      <c r="B36" s="53">
        <f>'DRE '!B42</f>
        <v>0</v>
      </c>
      <c r="C36" s="53">
        <f>'DRE '!C42</f>
        <v>0</v>
      </c>
      <c r="D36" s="53">
        <f>'DRE '!D42</f>
        <v>0</v>
      </c>
      <c r="E36" s="53">
        <f>'DRE '!E42</f>
        <v>0</v>
      </c>
      <c r="F36" s="53">
        <f>'DRE '!F42</f>
        <v>0</v>
      </c>
      <c r="G36" s="54">
        <f>'DRE '!G42</f>
        <v>0</v>
      </c>
      <c r="H36" s="54">
        <f>'DRE '!H42</f>
        <v>0</v>
      </c>
      <c r="I36" s="54">
        <f>'DRE '!I42</f>
        <v>0</v>
      </c>
      <c r="J36" s="54">
        <f>'DRE '!J42</f>
        <v>0</v>
      </c>
      <c r="K36" s="54">
        <f>'DRE '!K42</f>
        <v>0</v>
      </c>
      <c r="L36" s="54">
        <f>'DRE '!L42</f>
        <v>0</v>
      </c>
      <c r="M36" s="54">
        <f>'DRE '!M42</f>
        <v>0</v>
      </c>
      <c r="N36" s="54">
        <f>'DRE '!N42</f>
        <v>0</v>
      </c>
      <c r="O36" s="54">
        <f>'DRE '!O42</f>
        <v>0</v>
      </c>
      <c r="P36" s="54">
        <f>'DRE '!P42</f>
        <v>0</v>
      </c>
      <c r="Q36" s="54">
        <f>'DRE '!Q42</f>
        <v>0</v>
      </c>
      <c r="R36" s="54">
        <f>'DRE '!R42</f>
        <v>0</v>
      </c>
      <c r="S36" s="54">
        <f>'DRE '!S42</f>
        <v>0</v>
      </c>
      <c r="T36" s="54">
        <f>'DRE '!T42</f>
        <v>0</v>
      </c>
      <c r="U36" s="54">
        <f>'DRE '!U42</f>
        <v>0</v>
      </c>
      <c r="V36" s="54">
        <f>'DRE '!V42</f>
        <v>0</v>
      </c>
      <c r="W36" s="54">
        <f>'DRE '!W42</f>
        <v>0</v>
      </c>
      <c r="X36" s="54">
        <f>'DRE '!X42</f>
        <v>0</v>
      </c>
      <c r="Y36" s="54">
        <f>'DRE '!Y42</f>
        <v>0</v>
      </c>
      <c r="Z36" s="54">
        <f>'DRE '!Z42</f>
        <v>0</v>
      </c>
      <c r="AA36" s="54">
        <f>'DRE '!AA42</f>
        <v>0</v>
      </c>
      <c r="AB36" s="54">
        <f>'DRE '!AB42</f>
        <v>0</v>
      </c>
      <c r="AC36" s="54">
        <f>'DRE '!AC42</f>
        <v>0</v>
      </c>
      <c r="AD36" s="54">
        <f>'DRE '!AD42</f>
        <v>0</v>
      </c>
      <c r="AE36" s="54">
        <f>'DRE '!AE42</f>
        <v>0</v>
      </c>
      <c r="AF36" s="54">
        <f>'DRE '!AF42</f>
        <v>0</v>
      </c>
      <c r="AG36" s="54">
        <f>'DRE '!AG42</f>
        <v>0</v>
      </c>
      <c r="AH36" s="54">
        <f>'DRE '!AH42</f>
        <v>0</v>
      </c>
      <c r="AI36" s="54">
        <f>'DRE '!AI42</f>
        <v>0</v>
      </c>
      <c r="AJ36" s="54">
        <f>'DRE '!AJ42</f>
        <v>0</v>
      </c>
      <c r="AK36" s="54">
        <f>'DRE '!AK42</f>
        <v>0</v>
      </c>
      <c r="AL36" s="54">
        <f>'DRE '!AL42</f>
        <v>0</v>
      </c>
      <c r="AM36" s="54">
        <f>'DRE '!AM42</f>
        <v>0</v>
      </c>
      <c r="AN36" s="54">
        <f>'DRE '!AN42</f>
        <v>0</v>
      </c>
      <c r="AO36" s="54">
        <f>'DRE '!AO42</f>
        <v>0</v>
      </c>
      <c r="AP36" s="54">
        <f>'DRE '!AP42</f>
        <v>0</v>
      </c>
      <c r="AQ36" s="54">
        <f>'DRE '!AQ42</f>
        <v>0</v>
      </c>
      <c r="AR36" s="54">
        <f>'DRE '!AR42</f>
        <v>0</v>
      </c>
      <c r="AS36" s="54">
        <f>'DRE '!AS42</f>
        <v>0</v>
      </c>
      <c r="AT36" s="54">
        <f>'DRE '!AT42</f>
        <v>0</v>
      </c>
      <c r="AU36" s="54">
        <f>'DRE '!AU42</f>
        <v>0</v>
      </c>
      <c r="AV36" s="54">
        <f>'DRE '!AV42</f>
        <v>0</v>
      </c>
      <c r="AW36" s="55">
        <f>'DRE '!AW42</f>
        <v>0</v>
      </c>
      <c r="BC36" s="46"/>
    </row>
    <row r="37" spans="1:55" ht="15.75" customHeight="1" x14ac:dyDescent="0.2">
      <c r="A37" s="48" t="s">
        <v>31</v>
      </c>
      <c r="B37" s="53">
        <f>'DRE '!B43</f>
        <v>0</v>
      </c>
      <c r="C37" s="53">
        <f>'DRE '!C43</f>
        <v>0</v>
      </c>
      <c r="D37" s="53">
        <f>'DRE '!D43</f>
        <v>0</v>
      </c>
      <c r="E37" s="53">
        <f>'DRE '!E43</f>
        <v>0</v>
      </c>
      <c r="F37" s="53">
        <f>'DRE '!F43</f>
        <v>0</v>
      </c>
      <c r="G37" s="54">
        <f>'DRE '!G43</f>
        <v>0</v>
      </c>
      <c r="H37" s="54">
        <f>'DRE '!H43</f>
        <v>0</v>
      </c>
      <c r="I37" s="54">
        <f>'DRE '!I43</f>
        <v>0</v>
      </c>
      <c r="J37" s="54">
        <f>'DRE '!J43</f>
        <v>0</v>
      </c>
      <c r="K37" s="54">
        <f>'DRE '!K43</f>
        <v>0</v>
      </c>
      <c r="L37" s="54">
        <f>'DRE '!L43</f>
        <v>0</v>
      </c>
      <c r="M37" s="54">
        <f>'DRE '!M43</f>
        <v>0</v>
      </c>
      <c r="N37" s="54">
        <f>'DRE '!N43</f>
        <v>0</v>
      </c>
      <c r="O37" s="54">
        <f>'DRE '!O43</f>
        <v>0</v>
      </c>
      <c r="P37" s="54">
        <f>'DRE '!P43</f>
        <v>0</v>
      </c>
      <c r="Q37" s="54">
        <f>'DRE '!Q43</f>
        <v>0</v>
      </c>
      <c r="R37" s="54">
        <f>'DRE '!R43</f>
        <v>0</v>
      </c>
      <c r="S37" s="54">
        <f>'DRE '!S43</f>
        <v>0</v>
      </c>
      <c r="T37" s="54">
        <f>'DRE '!T43</f>
        <v>0</v>
      </c>
      <c r="U37" s="54">
        <f>'DRE '!U43</f>
        <v>0</v>
      </c>
      <c r="V37" s="54">
        <f>'DRE '!V43</f>
        <v>0</v>
      </c>
      <c r="W37" s="54">
        <f>'DRE '!W43</f>
        <v>0</v>
      </c>
      <c r="X37" s="54">
        <f>'DRE '!X43</f>
        <v>0</v>
      </c>
      <c r="Y37" s="54">
        <f>'DRE '!Y43</f>
        <v>0</v>
      </c>
      <c r="Z37" s="54">
        <f>'DRE '!Z43</f>
        <v>0</v>
      </c>
      <c r="AA37" s="54">
        <f>'DRE '!AA43</f>
        <v>0</v>
      </c>
      <c r="AB37" s="54">
        <f>'DRE '!AB43</f>
        <v>0</v>
      </c>
      <c r="AC37" s="54">
        <f>'DRE '!AC43</f>
        <v>0</v>
      </c>
      <c r="AD37" s="54">
        <f>'DRE '!AD43</f>
        <v>0</v>
      </c>
      <c r="AE37" s="54">
        <f>'DRE '!AE43</f>
        <v>0</v>
      </c>
      <c r="AF37" s="54">
        <f>'DRE '!AF43</f>
        <v>0</v>
      </c>
      <c r="AG37" s="54">
        <f>'DRE '!AG43</f>
        <v>0</v>
      </c>
      <c r="AH37" s="54">
        <f>'DRE '!AH43</f>
        <v>0</v>
      </c>
      <c r="AI37" s="54">
        <f>'DRE '!AI43</f>
        <v>0</v>
      </c>
      <c r="AJ37" s="54">
        <f>'DRE '!AJ43</f>
        <v>0</v>
      </c>
      <c r="AK37" s="54">
        <f>'DRE '!AK43</f>
        <v>0</v>
      </c>
      <c r="AL37" s="54">
        <f>'DRE '!AL43</f>
        <v>0</v>
      </c>
      <c r="AM37" s="54">
        <f>'DRE '!AM43</f>
        <v>0</v>
      </c>
      <c r="AN37" s="54">
        <f>'DRE '!AN43</f>
        <v>0</v>
      </c>
      <c r="AO37" s="54">
        <f>'DRE '!AO43</f>
        <v>0</v>
      </c>
      <c r="AP37" s="54">
        <f>'DRE '!AP43</f>
        <v>0</v>
      </c>
      <c r="AQ37" s="54">
        <f>'DRE '!AQ43</f>
        <v>0</v>
      </c>
      <c r="AR37" s="54">
        <f>'DRE '!AR43</f>
        <v>0</v>
      </c>
      <c r="AS37" s="54">
        <f>'DRE '!AS43</f>
        <v>0</v>
      </c>
      <c r="AT37" s="54">
        <f>'DRE '!AT43</f>
        <v>0</v>
      </c>
      <c r="AU37" s="54">
        <f>'DRE '!AU43</f>
        <v>0</v>
      </c>
      <c r="AV37" s="54">
        <f>'DRE '!AV43</f>
        <v>0</v>
      </c>
      <c r="AW37" s="55">
        <f>'DRE '!AW43</f>
        <v>0</v>
      </c>
      <c r="BC37" s="46"/>
    </row>
    <row r="38" spans="1:55" ht="15.75" customHeight="1" x14ac:dyDescent="0.2">
      <c r="A38" s="56" t="s">
        <v>32</v>
      </c>
      <c r="B38" s="53">
        <f>'DRE '!B44</f>
        <v>0</v>
      </c>
      <c r="C38" s="53">
        <f>'DRE '!C44</f>
        <v>0</v>
      </c>
      <c r="D38" s="53">
        <f>'DRE '!D44</f>
        <v>0</v>
      </c>
      <c r="E38" s="53">
        <f>'DRE '!E44</f>
        <v>0</v>
      </c>
      <c r="F38" s="53">
        <f>'DRE '!F44</f>
        <v>0</v>
      </c>
      <c r="G38" s="54">
        <f>'DRE '!G44</f>
        <v>0</v>
      </c>
      <c r="H38" s="54">
        <f>'DRE '!H44</f>
        <v>0</v>
      </c>
      <c r="I38" s="54">
        <f>'DRE '!I44</f>
        <v>0</v>
      </c>
      <c r="J38" s="54">
        <f>'DRE '!J44</f>
        <v>0</v>
      </c>
      <c r="K38" s="54">
        <f>'DRE '!K44</f>
        <v>0</v>
      </c>
      <c r="L38" s="54">
        <f>'DRE '!L44</f>
        <v>0</v>
      </c>
      <c r="M38" s="54">
        <f>'DRE '!M44</f>
        <v>0</v>
      </c>
      <c r="N38" s="54">
        <f>'DRE '!N44</f>
        <v>0</v>
      </c>
      <c r="O38" s="54">
        <f>'DRE '!O44</f>
        <v>0</v>
      </c>
      <c r="P38" s="54">
        <f>'DRE '!P44</f>
        <v>0</v>
      </c>
      <c r="Q38" s="54">
        <f>'DRE '!Q44</f>
        <v>0</v>
      </c>
      <c r="R38" s="54">
        <f>'DRE '!R44</f>
        <v>0</v>
      </c>
      <c r="S38" s="54">
        <f>'DRE '!S44</f>
        <v>0</v>
      </c>
      <c r="T38" s="54">
        <f>'DRE '!T44</f>
        <v>0</v>
      </c>
      <c r="U38" s="54">
        <f>'DRE '!U44</f>
        <v>0</v>
      </c>
      <c r="V38" s="54">
        <f>'DRE '!V44</f>
        <v>0</v>
      </c>
      <c r="W38" s="54">
        <f>'DRE '!W44</f>
        <v>0</v>
      </c>
      <c r="X38" s="54">
        <f>'DRE '!X44</f>
        <v>0</v>
      </c>
      <c r="Y38" s="54">
        <f>'DRE '!Y44</f>
        <v>0</v>
      </c>
      <c r="Z38" s="54">
        <f>'DRE '!Z44</f>
        <v>0</v>
      </c>
      <c r="AA38" s="54">
        <f>'DRE '!AA44</f>
        <v>0</v>
      </c>
      <c r="AB38" s="54">
        <f>'DRE '!AB44</f>
        <v>0</v>
      </c>
      <c r="AC38" s="54">
        <f>'DRE '!AC44</f>
        <v>0</v>
      </c>
      <c r="AD38" s="54">
        <f>'DRE '!AD44</f>
        <v>0</v>
      </c>
      <c r="AE38" s="54">
        <f>'DRE '!AE44</f>
        <v>0</v>
      </c>
      <c r="AF38" s="54">
        <f>'DRE '!AF44</f>
        <v>0</v>
      </c>
      <c r="AG38" s="54">
        <f>'DRE '!AG44</f>
        <v>0</v>
      </c>
      <c r="AH38" s="54">
        <f>'DRE '!AH44</f>
        <v>0</v>
      </c>
      <c r="AI38" s="54">
        <f>'DRE '!AI44</f>
        <v>0</v>
      </c>
      <c r="AJ38" s="54">
        <f>'DRE '!AJ44</f>
        <v>0</v>
      </c>
      <c r="AK38" s="54">
        <f>'DRE '!AK44</f>
        <v>0</v>
      </c>
      <c r="AL38" s="54">
        <f>'DRE '!AL44</f>
        <v>0</v>
      </c>
      <c r="AM38" s="54">
        <f>'DRE '!AM44</f>
        <v>0</v>
      </c>
      <c r="AN38" s="54">
        <f>'DRE '!AN44</f>
        <v>0</v>
      </c>
      <c r="AO38" s="54">
        <f>'DRE '!AO44</f>
        <v>0</v>
      </c>
      <c r="AP38" s="54">
        <f>'DRE '!AP44</f>
        <v>0</v>
      </c>
      <c r="AQ38" s="54">
        <f>'DRE '!AQ44</f>
        <v>0</v>
      </c>
      <c r="AR38" s="54">
        <f>'DRE '!AR44</f>
        <v>0</v>
      </c>
      <c r="AS38" s="54">
        <f>'DRE '!AS44</f>
        <v>0</v>
      </c>
      <c r="AT38" s="54">
        <f>'DRE '!AT44</f>
        <v>0</v>
      </c>
      <c r="AU38" s="54">
        <f>'DRE '!AU44</f>
        <v>0</v>
      </c>
      <c r="AV38" s="54">
        <f>'DRE '!AV44</f>
        <v>0</v>
      </c>
      <c r="AW38" s="55">
        <f>'DRE '!AW44</f>
        <v>0</v>
      </c>
      <c r="BC38" s="46"/>
    </row>
    <row r="39" spans="1:55" ht="15.75" customHeight="1" x14ac:dyDescent="0.2">
      <c r="A39" s="60" t="s">
        <v>113</v>
      </c>
      <c r="B39" s="53">
        <f t="shared" ref="B39:AW39" si="0">IF(B5=0,0,B28/B5)</f>
        <v>0</v>
      </c>
      <c r="C39" s="53">
        <f t="shared" si="0"/>
        <v>0</v>
      </c>
      <c r="D39" s="53">
        <f t="shared" si="0"/>
        <v>0</v>
      </c>
      <c r="E39" s="53">
        <f t="shared" si="0"/>
        <v>0</v>
      </c>
      <c r="F39" s="53">
        <f t="shared" si="0"/>
        <v>0</v>
      </c>
      <c r="G39" s="53">
        <f t="shared" si="0"/>
        <v>0</v>
      </c>
      <c r="H39" s="53">
        <f t="shared" si="0"/>
        <v>0</v>
      </c>
      <c r="I39" s="53">
        <f t="shared" si="0"/>
        <v>0</v>
      </c>
      <c r="J39" s="53">
        <f t="shared" si="0"/>
        <v>0</v>
      </c>
      <c r="K39" s="53">
        <f t="shared" si="0"/>
        <v>0</v>
      </c>
      <c r="L39" s="53">
        <f t="shared" si="0"/>
        <v>0</v>
      </c>
      <c r="M39" s="53">
        <f t="shared" si="0"/>
        <v>0</v>
      </c>
      <c r="N39" s="53">
        <f t="shared" si="0"/>
        <v>0</v>
      </c>
      <c r="O39" s="53">
        <f t="shared" si="0"/>
        <v>0</v>
      </c>
      <c r="P39" s="53">
        <f t="shared" si="0"/>
        <v>0</v>
      </c>
      <c r="Q39" s="53">
        <f t="shared" si="0"/>
        <v>0</v>
      </c>
      <c r="R39" s="53">
        <f t="shared" si="0"/>
        <v>0</v>
      </c>
      <c r="S39" s="53">
        <f t="shared" si="0"/>
        <v>0</v>
      </c>
      <c r="T39" s="53">
        <f t="shared" si="0"/>
        <v>0</v>
      </c>
      <c r="U39" s="53">
        <f t="shared" si="0"/>
        <v>0</v>
      </c>
      <c r="V39" s="53">
        <f t="shared" si="0"/>
        <v>0</v>
      </c>
      <c r="W39" s="53">
        <f t="shared" si="0"/>
        <v>0</v>
      </c>
      <c r="X39" s="53">
        <f t="shared" si="0"/>
        <v>0</v>
      </c>
      <c r="Y39" s="53">
        <f t="shared" si="0"/>
        <v>0</v>
      </c>
      <c r="Z39" s="53">
        <f t="shared" si="0"/>
        <v>0</v>
      </c>
      <c r="AA39" s="53">
        <f t="shared" si="0"/>
        <v>0</v>
      </c>
      <c r="AB39" s="53">
        <f t="shared" si="0"/>
        <v>0</v>
      </c>
      <c r="AC39" s="53">
        <f t="shared" si="0"/>
        <v>0</v>
      </c>
      <c r="AD39" s="53">
        <f t="shared" si="0"/>
        <v>0</v>
      </c>
      <c r="AE39" s="53">
        <f t="shared" si="0"/>
        <v>0</v>
      </c>
      <c r="AF39" s="53">
        <f t="shared" si="0"/>
        <v>0</v>
      </c>
      <c r="AG39" s="53">
        <f t="shared" si="0"/>
        <v>0</v>
      </c>
      <c r="AH39" s="53">
        <f t="shared" si="0"/>
        <v>0</v>
      </c>
      <c r="AI39" s="53">
        <f t="shared" si="0"/>
        <v>0</v>
      </c>
      <c r="AJ39" s="53">
        <f t="shared" si="0"/>
        <v>0</v>
      </c>
      <c r="AK39" s="53">
        <f t="shared" si="0"/>
        <v>0</v>
      </c>
      <c r="AL39" s="53">
        <f t="shared" si="0"/>
        <v>0</v>
      </c>
      <c r="AM39" s="53">
        <f t="shared" si="0"/>
        <v>0</v>
      </c>
      <c r="AN39" s="53">
        <f t="shared" si="0"/>
        <v>0</v>
      </c>
      <c r="AO39" s="53">
        <f t="shared" si="0"/>
        <v>0</v>
      </c>
      <c r="AP39" s="53">
        <f t="shared" si="0"/>
        <v>0</v>
      </c>
      <c r="AQ39" s="53">
        <f t="shared" si="0"/>
        <v>0</v>
      </c>
      <c r="AR39" s="53">
        <f t="shared" si="0"/>
        <v>0</v>
      </c>
      <c r="AS39" s="53">
        <f t="shared" si="0"/>
        <v>0</v>
      </c>
      <c r="AT39" s="53">
        <f t="shared" si="0"/>
        <v>0</v>
      </c>
      <c r="AU39" s="53">
        <f t="shared" si="0"/>
        <v>0</v>
      </c>
      <c r="AV39" s="53">
        <f t="shared" si="0"/>
        <v>0</v>
      </c>
      <c r="AW39" s="61">
        <f t="shared" si="0"/>
        <v>0</v>
      </c>
      <c r="BC39" s="46"/>
    </row>
    <row r="40" spans="1:55" ht="15.75" customHeight="1" x14ac:dyDescent="0.2">
      <c r="A40" s="62" t="s">
        <v>114</v>
      </c>
      <c r="B40" s="63">
        <f t="shared" ref="B40:AW40" si="1">IF(B6=0,0,B42/B6)</f>
        <v>0</v>
      </c>
      <c r="C40" s="63">
        <f t="shared" si="1"/>
        <v>0</v>
      </c>
      <c r="D40" s="63">
        <f t="shared" si="1"/>
        <v>0</v>
      </c>
      <c r="E40" s="63">
        <f t="shared" si="1"/>
        <v>0</v>
      </c>
      <c r="F40" s="63">
        <f t="shared" si="1"/>
        <v>0</v>
      </c>
      <c r="G40" s="63">
        <f t="shared" si="1"/>
        <v>0</v>
      </c>
      <c r="H40" s="63">
        <f t="shared" si="1"/>
        <v>0</v>
      </c>
      <c r="I40" s="63">
        <f t="shared" si="1"/>
        <v>0</v>
      </c>
      <c r="J40" s="63">
        <f t="shared" si="1"/>
        <v>0</v>
      </c>
      <c r="K40" s="63">
        <f t="shared" si="1"/>
        <v>0</v>
      </c>
      <c r="L40" s="63">
        <f t="shared" si="1"/>
        <v>0</v>
      </c>
      <c r="M40" s="63">
        <f t="shared" si="1"/>
        <v>0</v>
      </c>
      <c r="N40" s="63">
        <f t="shared" si="1"/>
        <v>0</v>
      </c>
      <c r="O40" s="63">
        <f t="shared" si="1"/>
        <v>0</v>
      </c>
      <c r="P40" s="63">
        <f t="shared" si="1"/>
        <v>0</v>
      </c>
      <c r="Q40" s="63">
        <f t="shared" si="1"/>
        <v>0</v>
      </c>
      <c r="R40" s="63">
        <f t="shared" si="1"/>
        <v>0</v>
      </c>
      <c r="S40" s="63">
        <f t="shared" si="1"/>
        <v>0</v>
      </c>
      <c r="T40" s="63">
        <f t="shared" si="1"/>
        <v>0</v>
      </c>
      <c r="U40" s="63">
        <f t="shared" si="1"/>
        <v>0</v>
      </c>
      <c r="V40" s="63">
        <f t="shared" si="1"/>
        <v>0</v>
      </c>
      <c r="W40" s="63">
        <f t="shared" si="1"/>
        <v>0</v>
      </c>
      <c r="X40" s="63">
        <f t="shared" si="1"/>
        <v>0</v>
      </c>
      <c r="Y40" s="63">
        <f t="shared" si="1"/>
        <v>0</v>
      </c>
      <c r="Z40" s="63">
        <f t="shared" si="1"/>
        <v>0</v>
      </c>
      <c r="AA40" s="63">
        <f t="shared" si="1"/>
        <v>0</v>
      </c>
      <c r="AB40" s="63">
        <f t="shared" si="1"/>
        <v>0</v>
      </c>
      <c r="AC40" s="63">
        <f t="shared" si="1"/>
        <v>0</v>
      </c>
      <c r="AD40" s="63">
        <f t="shared" si="1"/>
        <v>0</v>
      </c>
      <c r="AE40" s="63">
        <f t="shared" si="1"/>
        <v>0</v>
      </c>
      <c r="AF40" s="63">
        <f t="shared" si="1"/>
        <v>0</v>
      </c>
      <c r="AG40" s="63">
        <f t="shared" si="1"/>
        <v>0</v>
      </c>
      <c r="AH40" s="63">
        <f t="shared" si="1"/>
        <v>0</v>
      </c>
      <c r="AI40" s="63">
        <f t="shared" si="1"/>
        <v>0</v>
      </c>
      <c r="AJ40" s="63">
        <f t="shared" si="1"/>
        <v>0</v>
      </c>
      <c r="AK40" s="63">
        <f t="shared" si="1"/>
        <v>0</v>
      </c>
      <c r="AL40" s="63">
        <f t="shared" si="1"/>
        <v>0</v>
      </c>
      <c r="AM40" s="63">
        <f t="shared" si="1"/>
        <v>0</v>
      </c>
      <c r="AN40" s="63">
        <f t="shared" si="1"/>
        <v>0</v>
      </c>
      <c r="AO40" s="63">
        <f t="shared" si="1"/>
        <v>0</v>
      </c>
      <c r="AP40" s="63">
        <f t="shared" si="1"/>
        <v>0</v>
      </c>
      <c r="AQ40" s="63">
        <f t="shared" si="1"/>
        <v>0</v>
      </c>
      <c r="AR40" s="63">
        <f t="shared" si="1"/>
        <v>0</v>
      </c>
      <c r="AS40" s="63">
        <f t="shared" si="1"/>
        <v>0</v>
      </c>
      <c r="AT40" s="63">
        <f t="shared" si="1"/>
        <v>0</v>
      </c>
      <c r="AU40" s="63">
        <f t="shared" si="1"/>
        <v>0</v>
      </c>
      <c r="AV40" s="63">
        <f t="shared" si="1"/>
        <v>0</v>
      </c>
      <c r="AW40" s="64">
        <f t="shared" si="1"/>
        <v>0</v>
      </c>
      <c r="BC40" s="46"/>
    </row>
    <row r="41" spans="1:55" ht="15.75" customHeight="1" x14ac:dyDescent="0.2">
      <c r="A41" s="60" t="s">
        <v>115</v>
      </c>
      <c r="B41" s="49">
        <f t="shared" ref="B41:AW41" si="2">IF(B39=0,0,B40/B39)</f>
        <v>0</v>
      </c>
      <c r="C41" s="49">
        <f t="shared" si="2"/>
        <v>0</v>
      </c>
      <c r="D41" s="49">
        <f t="shared" si="2"/>
        <v>0</v>
      </c>
      <c r="E41" s="49">
        <f t="shared" si="2"/>
        <v>0</v>
      </c>
      <c r="F41" s="49">
        <f t="shared" si="2"/>
        <v>0</v>
      </c>
      <c r="G41" s="49">
        <f t="shared" si="2"/>
        <v>0</v>
      </c>
      <c r="H41" s="49">
        <f t="shared" si="2"/>
        <v>0</v>
      </c>
      <c r="I41" s="49">
        <f t="shared" si="2"/>
        <v>0</v>
      </c>
      <c r="J41" s="49">
        <f t="shared" si="2"/>
        <v>0</v>
      </c>
      <c r="K41" s="49">
        <f t="shared" si="2"/>
        <v>0</v>
      </c>
      <c r="L41" s="49">
        <f t="shared" si="2"/>
        <v>0</v>
      </c>
      <c r="M41" s="49">
        <f t="shared" si="2"/>
        <v>0</v>
      </c>
      <c r="N41" s="49">
        <f t="shared" si="2"/>
        <v>0</v>
      </c>
      <c r="O41" s="49">
        <f t="shared" si="2"/>
        <v>0</v>
      </c>
      <c r="P41" s="49">
        <f t="shared" si="2"/>
        <v>0</v>
      </c>
      <c r="Q41" s="49">
        <f t="shared" si="2"/>
        <v>0</v>
      </c>
      <c r="R41" s="49">
        <f t="shared" si="2"/>
        <v>0</v>
      </c>
      <c r="S41" s="49">
        <f t="shared" si="2"/>
        <v>0</v>
      </c>
      <c r="T41" s="49">
        <f t="shared" si="2"/>
        <v>0</v>
      </c>
      <c r="U41" s="49">
        <f t="shared" si="2"/>
        <v>0</v>
      </c>
      <c r="V41" s="49">
        <f t="shared" si="2"/>
        <v>0</v>
      </c>
      <c r="W41" s="49">
        <f t="shared" si="2"/>
        <v>0</v>
      </c>
      <c r="X41" s="49">
        <f t="shared" si="2"/>
        <v>0</v>
      </c>
      <c r="Y41" s="49">
        <f t="shared" si="2"/>
        <v>0</v>
      </c>
      <c r="Z41" s="49">
        <f t="shared" si="2"/>
        <v>0</v>
      </c>
      <c r="AA41" s="49">
        <f t="shared" si="2"/>
        <v>0</v>
      </c>
      <c r="AB41" s="49">
        <f t="shared" si="2"/>
        <v>0</v>
      </c>
      <c r="AC41" s="49">
        <f t="shared" si="2"/>
        <v>0</v>
      </c>
      <c r="AD41" s="49">
        <f t="shared" si="2"/>
        <v>0</v>
      </c>
      <c r="AE41" s="49">
        <f t="shared" si="2"/>
        <v>0</v>
      </c>
      <c r="AF41" s="49">
        <f t="shared" si="2"/>
        <v>0</v>
      </c>
      <c r="AG41" s="49">
        <f t="shared" si="2"/>
        <v>0</v>
      </c>
      <c r="AH41" s="49">
        <f t="shared" si="2"/>
        <v>0</v>
      </c>
      <c r="AI41" s="49">
        <f t="shared" si="2"/>
        <v>0</v>
      </c>
      <c r="AJ41" s="49">
        <f t="shared" si="2"/>
        <v>0</v>
      </c>
      <c r="AK41" s="49">
        <f t="shared" si="2"/>
        <v>0</v>
      </c>
      <c r="AL41" s="49">
        <f t="shared" si="2"/>
        <v>0</v>
      </c>
      <c r="AM41" s="49">
        <f t="shared" si="2"/>
        <v>0</v>
      </c>
      <c r="AN41" s="49">
        <f t="shared" si="2"/>
        <v>0</v>
      </c>
      <c r="AO41" s="49">
        <f t="shared" si="2"/>
        <v>0</v>
      </c>
      <c r="AP41" s="49">
        <f t="shared" si="2"/>
        <v>0</v>
      </c>
      <c r="AQ41" s="49">
        <f t="shared" si="2"/>
        <v>0</v>
      </c>
      <c r="AR41" s="49">
        <f t="shared" si="2"/>
        <v>0</v>
      </c>
      <c r="AS41" s="49">
        <f t="shared" si="2"/>
        <v>0</v>
      </c>
      <c r="AT41" s="49">
        <f t="shared" si="2"/>
        <v>0</v>
      </c>
      <c r="AU41" s="49">
        <f t="shared" si="2"/>
        <v>0</v>
      </c>
      <c r="AV41" s="49">
        <f t="shared" si="2"/>
        <v>0</v>
      </c>
      <c r="AW41" s="65">
        <f t="shared" si="2"/>
        <v>0</v>
      </c>
      <c r="BC41" s="46"/>
    </row>
    <row r="42" spans="1:55" ht="15.75" customHeight="1" x14ac:dyDescent="0.2">
      <c r="A42" s="66" t="s">
        <v>116</v>
      </c>
      <c r="B42" s="67">
        <f t="shared" ref="B42:AW42" si="3">IF(B3=0,0,B9/B3)</f>
        <v>0</v>
      </c>
      <c r="C42" s="67">
        <f t="shared" si="3"/>
        <v>0</v>
      </c>
      <c r="D42" s="67">
        <f t="shared" si="3"/>
        <v>0</v>
      </c>
      <c r="E42" s="67">
        <f t="shared" si="3"/>
        <v>0</v>
      </c>
      <c r="F42" s="67">
        <f t="shared" si="3"/>
        <v>0</v>
      </c>
      <c r="G42" s="67">
        <f t="shared" si="3"/>
        <v>0</v>
      </c>
      <c r="H42" s="67">
        <f t="shared" si="3"/>
        <v>0</v>
      </c>
      <c r="I42" s="67">
        <f t="shared" si="3"/>
        <v>0</v>
      </c>
      <c r="J42" s="67">
        <f t="shared" si="3"/>
        <v>0</v>
      </c>
      <c r="K42" s="67">
        <f t="shared" si="3"/>
        <v>0</v>
      </c>
      <c r="L42" s="67">
        <f t="shared" si="3"/>
        <v>0</v>
      </c>
      <c r="M42" s="67">
        <f t="shared" si="3"/>
        <v>0</v>
      </c>
      <c r="N42" s="67">
        <f t="shared" si="3"/>
        <v>0</v>
      </c>
      <c r="O42" s="67">
        <f t="shared" si="3"/>
        <v>0</v>
      </c>
      <c r="P42" s="67">
        <f t="shared" si="3"/>
        <v>0</v>
      </c>
      <c r="Q42" s="67">
        <f t="shared" si="3"/>
        <v>0</v>
      </c>
      <c r="R42" s="67">
        <f t="shared" si="3"/>
        <v>0</v>
      </c>
      <c r="S42" s="67">
        <f t="shared" si="3"/>
        <v>0</v>
      </c>
      <c r="T42" s="67">
        <f t="shared" si="3"/>
        <v>0</v>
      </c>
      <c r="U42" s="67">
        <f t="shared" si="3"/>
        <v>0</v>
      </c>
      <c r="V42" s="67">
        <f t="shared" si="3"/>
        <v>0</v>
      </c>
      <c r="W42" s="67">
        <f t="shared" si="3"/>
        <v>0</v>
      </c>
      <c r="X42" s="67">
        <f t="shared" si="3"/>
        <v>0</v>
      </c>
      <c r="Y42" s="67">
        <f t="shared" si="3"/>
        <v>0</v>
      </c>
      <c r="Z42" s="67">
        <f t="shared" si="3"/>
        <v>0</v>
      </c>
      <c r="AA42" s="67">
        <f t="shared" si="3"/>
        <v>0</v>
      </c>
      <c r="AB42" s="67">
        <f t="shared" si="3"/>
        <v>0</v>
      </c>
      <c r="AC42" s="67">
        <f t="shared" si="3"/>
        <v>0</v>
      </c>
      <c r="AD42" s="67">
        <f t="shared" si="3"/>
        <v>0</v>
      </c>
      <c r="AE42" s="67">
        <f t="shared" si="3"/>
        <v>0</v>
      </c>
      <c r="AF42" s="67">
        <f t="shared" si="3"/>
        <v>0</v>
      </c>
      <c r="AG42" s="67">
        <f t="shared" si="3"/>
        <v>0</v>
      </c>
      <c r="AH42" s="67">
        <f t="shared" si="3"/>
        <v>0</v>
      </c>
      <c r="AI42" s="67">
        <f t="shared" si="3"/>
        <v>0</v>
      </c>
      <c r="AJ42" s="67">
        <f t="shared" si="3"/>
        <v>0</v>
      </c>
      <c r="AK42" s="67">
        <f t="shared" si="3"/>
        <v>0</v>
      </c>
      <c r="AL42" s="67">
        <f t="shared" si="3"/>
        <v>0</v>
      </c>
      <c r="AM42" s="67">
        <f t="shared" si="3"/>
        <v>0</v>
      </c>
      <c r="AN42" s="67">
        <f t="shared" si="3"/>
        <v>0</v>
      </c>
      <c r="AO42" s="67">
        <f t="shared" si="3"/>
        <v>0</v>
      </c>
      <c r="AP42" s="67">
        <f t="shared" si="3"/>
        <v>0</v>
      </c>
      <c r="AQ42" s="67">
        <f t="shared" si="3"/>
        <v>0</v>
      </c>
      <c r="AR42" s="67">
        <f t="shared" si="3"/>
        <v>0</v>
      </c>
      <c r="AS42" s="67">
        <f t="shared" si="3"/>
        <v>0</v>
      </c>
      <c r="AT42" s="67">
        <f t="shared" si="3"/>
        <v>0</v>
      </c>
      <c r="AU42" s="67">
        <f t="shared" si="3"/>
        <v>0</v>
      </c>
      <c r="AV42" s="67">
        <f t="shared" si="3"/>
        <v>0</v>
      </c>
      <c r="AW42" s="68">
        <f t="shared" si="3"/>
        <v>0</v>
      </c>
      <c r="BC42" s="46"/>
    </row>
    <row r="43" spans="1:55" ht="15.75" customHeight="1" x14ac:dyDescent="0.2">
      <c r="A43" t="s">
        <v>49</v>
      </c>
      <c r="B43" s="8">
        <f>IF(B5=0,0,B28/B5)</f>
        <v>0</v>
      </c>
      <c r="C43" s="8">
        <f>IF(SUM(B5,C5)=0,0,SUM(B28,C28)/SUM(B5,C5))</f>
        <v>0</v>
      </c>
      <c r="D43" s="8">
        <f>IF(SUM(B5,C5,D5)=0,0,SUM(B28,C28,D28)/SUM(B5,C5,D5))</f>
        <v>0</v>
      </c>
      <c r="E43" s="8">
        <f>IF(SUM(B5,C5,D5,E5)=0,0,SUM(B28,C28,D28,E28)/SUM(B5,C5,D5,E5))</f>
        <v>0</v>
      </c>
      <c r="F43" s="8">
        <f>IF(SUM(B5:F5)=0,0,SUM(B28:F28)/SUM(B5:F5))</f>
        <v>0</v>
      </c>
      <c r="G43" s="8">
        <f t="shared" ref="G43:AW43" si="4">IF(SUM(B5:G5)=0,0,SUM(B28:G28)/SUM(B5:G5))</f>
        <v>0</v>
      </c>
      <c r="H43" s="8">
        <f t="shared" si="4"/>
        <v>0</v>
      </c>
      <c r="I43" s="8">
        <f t="shared" si="4"/>
        <v>0</v>
      </c>
      <c r="J43" s="8">
        <f t="shared" si="4"/>
        <v>0</v>
      </c>
      <c r="K43" s="8">
        <f t="shared" si="4"/>
        <v>0</v>
      </c>
      <c r="L43" s="8">
        <f t="shared" si="4"/>
        <v>0</v>
      </c>
      <c r="M43" s="8">
        <f t="shared" si="4"/>
        <v>0</v>
      </c>
      <c r="N43" s="8">
        <f t="shared" si="4"/>
        <v>0</v>
      </c>
      <c r="O43" s="8">
        <f t="shared" si="4"/>
        <v>0</v>
      </c>
      <c r="P43" s="8">
        <f t="shared" si="4"/>
        <v>0</v>
      </c>
      <c r="Q43" s="8">
        <f t="shared" si="4"/>
        <v>0</v>
      </c>
      <c r="R43" s="8">
        <f t="shared" si="4"/>
        <v>0</v>
      </c>
      <c r="S43" s="8">
        <f t="shared" si="4"/>
        <v>0</v>
      </c>
      <c r="T43" s="8">
        <f t="shared" si="4"/>
        <v>0</v>
      </c>
      <c r="U43" s="8">
        <f t="shared" si="4"/>
        <v>0</v>
      </c>
      <c r="V43" s="8">
        <f t="shared" si="4"/>
        <v>0</v>
      </c>
      <c r="W43" s="8">
        <f t="shared" si="4"/>
        <v>0</v>
      </c>
      <c r="X43" s="8">
        <f t="shared" si="4"/>
        <v>0</v>
      </c>
      <c r="Y43" s="8">
        <f t="shared" si="4"/>
        <v>0</v>
      </c>
      <c r="Z43" s="8">
        <f t="shared" si="4"/>
        <v>0</v>
      </c>
      <c r="AA43" s="8">
        <f t="shared" si="4"/>
        <v>0</v>
      </c>
      <c r="AB43" s="8">
        <f t="shared" si="4"/>
        <v>0</v>
      </c>
      <c r="AC43" s="8">
        <f t="shared" si="4"/>
        <v>0</v>
      </c>
      <c r="AD43" s="8">
        <f t="shared" si="4"/>
        <v>0</v>
      </c>
      <c r="AE43" s="8">
        <f t="shared" si="4"/>
        <v>0</v>
      </c>
      <c r="AF43" s="8">
        <f t="shared" si="4"/>
        <v>0</v>
      </c>
      <c r="AG43" s="8">
        <f t="shared" si="4"/>
        <v>0</v>
      </c>
      <c r="AH43" s="8">
        <f t="shared" si="4"/>
        <v>0</v>
      </c>
      <c r="AI43" s="8">
        <f t="shared" si="4"/>
        <v>0</v>
      </c>
      <c r="AJ43" s="8">
        <f t="shared" si="4"/>
        <v>0</v>
      </c>
      <c r="AK43" s="8">
        <f t="shared" si="4"/>
        <v>0</v>
      </c>
      <c r="AL43" s="8">
        <f t="shared" si="4"/>
        <v>0</v>
      </c>
      <c r="AM43" s="8">
        <f t="shared" si="4"/>
        <v>0</v>
      </c>
      <c r="AN43" s="8">
        <f t="shared" si="4"/>
        <v>0</v>
      </c>
      <c r="AO43" s="8">
        <f t="shared" si="4"/>
        <v>0</v>
      </c>
      <c r="AP43" s="8">
        <f t="shared" si="4"/>
        <v>0</v>
      </c>
      <c r="AQ43" s="8">
        <f t="shared" si="4"/>
        <v>0</v>
      </c>
      <c r="AR43" s="8">
        <f t="shared" si="4"/>
        <v>0</v>
      </c>
      <c r="AS43" s="8">
        <f t="shared" si="4"/>
        <v>0</v>
      </c>
      <c r="AT43" s="8">
        <f t="shared" si="4"/>
        <v>0</v>
      </c>
      <c r="AU43" s="8">
        <f t="shared" si="4"/>
        <v>0</v>
      </c>
      <c r="AV43" s="8">
        <f t="shared" si="4"/>
        <v>0</v>
      </c>
      <c r="AW43" s="8">
        <f t="shared" si="4"/>
        <v>0</v>
      </c>
      <c r="BC43" s="46"/>
    </row>
    <row r="44" spans="1:55" ht="15.75" customHeight="1" x14ac:dyDescent="0.2">
      <c r="A44" t="s">
        <v>48</v>
      </c>
      <c r="B44" s="8">
        <f t="shared" ref="B44:AW44" si="5">IF(B50=0,0,B53/B50)</f>
        <v>0</v>
      </c>
      <c r="C44" s="8">
        <f t="shared" si="5"/>
        <v>0</v>
      </c>
      <c r="D44" s="8">
        <f t="shared" si="5"/>
        <v>0</v>
      </c>
      <c r="E44" s="8">
        <f t="shared" si="5"/>
        <v>0</v>
      </c>
      <c r="F44" s="8">
        <f t="shared" si="5"/>
        <v>0</v>
      </c>
      <c r="G44" s="8">
        <f t="shared" si="5"/>
        <v>0</v>
      </c>
      <c r="H44" s="8">
        <f t="shared" si="5"/>
        <v>0</v>
      </c>
      <c r="I44" s="8">
        <f t="shared" si="5"/>
        <v>0</v>
      </c>
      <c r="J44" s="8">
        <f t="shared" si="5"/>
        <v>0</v>
      </c>
      <c r="K44" s="8">
        <f t="shared" si="5"/>
        <v>0</v>
      </c>
      <c r="L44" s="8">
        <f t="shared" si="5"/>
        <v>0</v>
      </c>
      <c r="M44" s="8">
        <f t="shared" si="5"/>
        <v>0</v>
      </c>
      <c r="N44" s="8">
        <f t="shared" si="5"/>
        <v>0</v>
      </c>
      <c r="O44" s="8">
        <f t="shared" si="5"/>
        <v>0</v>
      </c>
      <c r="P44" s="8">
        <f t="shared" si="5"/>
        <v>0</v>
      </c>
      <c r="Q44" s="8">
        <f t="shared" si="5"/>
        <v>0</v>
      </c>
      <c r="R44" s="8">
        <f t="shared" si="5"/>
        <v>0</v>
      </c>
      <c r="S44" s="8">
        <f t="shared" si="5"/>
        <v>0</v>
      </c>
      <c r="T44" s="8">
        <f t="shared" si="5"/>
        <v>0</v>
      </c>
      <c r="U44" s="8">
        <f t="shared" si="5"/>
        <v>0</v>
      </c>
      <c r="V44" s="8">
        <f t="shared" si="5"/>
        <v>0</v>
      </c>
      <c r="W44" s="8">
        <f t="shared" si="5"/>
        <v>0</v>
      </c>
      <c r="X44" s="8">
        <f t="shared" si="5"/>
        <v>0</v>
      </c>
      <c r="Y44" s="8">
        <f t="shared" si="5"/>
        <v>0</v>
      </c>
      <c r="Z44" s="8">
        <f t="shared" si="5"/>
        <v>0</v>
      </c>
      <c r="AA44" s="8">
        <f t="shared" si="5"/>
        <v>0</v>
      </c>
      <c r="AB44" s="8">
        <f t="shared" si="5"/>
        <v>0</v>
      </c>
      <c r="AC44" s="8">
        <f t="shared" si="5"/>
        <v>0</v>
      </c>
      <c r="AD44" s="8">
        <f t="shared" si="5"/>
        <v>0</v>
      </c>
      <c r="AE44" s="8">
        <f t="shared" si="5"/>
        <v>0</v>
      </c>
      <c r="AF44" s="8">
        <f t="shared" si="5"/>
        <v>0</v>
      </c>
      <c r="AG44" s="8">
        <f t="shared" si="5"/>
        <v>0</v>
      </c>
      <c r="AH44" s="8">
        <f t="shared" si="5"/>
        <v>0</v>
      </c>
      <c r="AI44" s="8">
        <f t="shared" si="5"/>
        <v>0</v>
      </c>
      <c r="AJ44" s="8">
        <f t="shared" si="5"/>
        <v>0</v>
      </c>
      <c r="AK44" s="8">
        <f t="shared" si="5"/>
        <v>0</v>
      </c>
      <c r="AL44" s="8">
        <f t="shared" si="5"/>
        <v>0</v>
      </c>
      <c r="AM44" s="8">
        <f t="shared" si="5"/>
        <v>0</v>
      </c>
      <c r="AN44" s="8">
        <f t="shared" si="5"/>
        <v>0</v>
      </c>
      <c r="AO44" s="8">
        <f t="shared" si="5"/>
        <v>0</v>
      </c>
      <c r="AP44" s="8">
        <f t="shared" si="5"/>
        <v>0</v>
      </c>
      <c r="AQ44" s="8">
        <f t="shared" si="5"/>
        <v>0</v>
      </c>
      <c r="AR44" s="8">
        <f t="shared" si="5"/>
        <v>0</v>
      </c>
      <c r="AS44" s="8">
        <f t="shared" si="5"/>
        <v>0</v>
      </c>
      <c r="AT44" s="8">
        <f t="shared" si="5"/>
        <v>0</v>
      </c>
      <c r="AU44" s="8">
        <f t="shared" si="5"/>
        <v>0</v>
      </c>
      <c r="AV44" s="8">
        <f t="shared" si="5"/>
        <v>0</v>
      </c>
      <c r="AW44" s="8">
        <f t="shared" si="5"/>
        <v>0</v>
      </c>
      <c r="BC44" s="46"/>
    </row>
    <row r="45" spans="1:55" ht="15.75" customHeight="1" x14ac:dyDescent="0.2">
      <c r="A45" t="s">
        <v>43</v>
      </c>
      <c r="B45" s="8">
        <f>IF(B5=0,0,B28/B5)</f>
        <v>0</v>
      </c>
      <c r="C45" s="8">
        <f>IF(SUM(B5,C5)=0,0,SUM(B28,C28)/SUM(B5,C5))</f>
        <v>0</v>
      </c>
      <c r="D45" s="8">
        <f t="shared" ref="D45:AW45" si="6">IF(SUM(B5:D5)=0,0,SUM(B28:D28)/SUM(B5:D5))</f>
        <v>0</v>
      </c>
      <c r="E45" s="8">
        <f t="shared" si="6"/>
        <v>0</v>
      </c>
      <c r="F45" s="8">
        <f t="shared" si="6"/>
        <v>0</v>
      </c>
      <c r="G45" s="8">
        <f t="shared" si="6"/>
        <v>0</v>
      </c>
      <c r="H45" s="8">
        <f t="shared" si="6"/>
        <v>0</v>
      </c>
      <c r="I45" s="8">
        <f t="shared" si="6"/>
        <v>0</v>
      </c>
      <c r="J45" s="8">
        <f t="shared" si="6"/>
        <v>0</v>
      </c>
      <c r="K45" s="8">
        <f t="shared" si="6"/>
        <v>0</v>
      </c>
      <c r="L45" s="8">
        <f t="shared" si="6"/>
        <v>0</v>
      </c>
      <c r="M45" s="8">
        <f t="shared" si="6"/>
        <v>0</v>
      </c>
      <c r="N45" s="8">
        <f t="shared" si="6"/>
        <v>0</v>
      </c>
      <c r="O45" s="8">
        <f t="shared" si="6"/>
        <v>0</v>
      </c>
      <c r="P45" s="8">
        <f t="shared" si="6"/>
        <v>0</v>
      </c>
      <c r="Q45" s="8">
        <f t="shared" si="6"/>
        <v>0</v>
      </c>
      <c r="R45" s="8">
        <f t="shared" si="6"/>
        <v>0</v>
      </c>
      <c r="S45" s="8">
        <f t="shared" si="6"/>
        <v>0</v>
      </c>
      <c r="T45" s="8">
        <f t="shared" si="6"/>
        <v>0</v>
      </c>
      <c r="U45" s="8">
        <f t="shared" si="6"/>
        <v>0</v>
      </c>
      <c r="V45" s="8">
        <f t="shared" si="6"/>
        <v>0</v>
      </c>
      <c r="W45" s="8">
        <f t="shared" si="6"/>
        <v>0</v>
      </c>
      <c r="X45" s="8">
        <f t="shared" si="6"/>
        <v>0</v>
      </c>
      <c r="Y45" s="8">
        <f t="shared" si="6"/>
        <v>0</v>
      </c>
      <c r="Z45" s="8">
        <f t="shared" si="6"/>
        <v>0</v>
      </c>
      <c r="AA45" s="8">
        <f t="shared" si="6"/>
        <v>0</v>
      </c>
      <c r="AB45" s="8">
        <f t="shared" si="6"/>
        <v>0</v>
      </c>
      <c r="AC45" s="8">
        <f t="shared" si="6"/>
        <v>0</v>
      </c>
      <c r="AD45" s="8">
        <f t="shared" si="6"/>
        <v>0</v>
      </c>
      <c r="AE45" s="8">
        <f t="shared" si="6"/>
        <v>0</v>
      </c>
      <c r="AF45" s="8">
        <f t="shared" si="6"/>
        <v>0</v>
      </c>
      <c r="AG45" s="8">
        <f t="shared" si="6"/>
        <v>0</v>
      </c>
      <c r="AH45" s="8">
        <f t="shared" si="6"/>
        <v>0</v>
      </c>
      <c r="AI45" s="8">
        <f t="shared" si="6"/>
        <v>0</v>
      </c>
      <c r="AJ45" s="8">
        <f t="shared" si="6"/>
        <v>0</v>
      </c>
      <c r="AK45" s="8">
        <f t="shared" si="6"/>
        <v>0</v>
      </c>
      <c r="AL45" s="8">
        <f t="shared" si="6"/>
        <v>0</v>
      </c>
      <c r="AM45" s="8">
        <f t="shared" si="6"/>
        <v>0</v>
      </c>
      <c r="AN45" s="8">
        <f t="shared" si="6"/>
        <v>0</v>
      </c>
      <c r="AO45" s="8">
        <f t="shared" si="6"/>
        <v>0</v>
      </c>
      <c r="AP45" s="8">
        <f t="shared" si="6"/>
        <v>0</v>
      </c>
      <c r="AQ45" s="8">
        <f t="shared" si="6"/>
        <v>0</v>
      </c>
      <c r="AR45" s="8">
        <f t="shared" si="6"/>
        <v>0</v>
      </c>
      <c r="AS45" s="8">
        <f t="shared" si="6"/>
        <v>0</v>
      </c>
      <c r="AT45" s="8">
        <f t="shared" si="6"/>
        <v>0</v>
      </c>
      <c r="AU45" s="8">
        <f t="shared" si="6"/>
        <v>0</v>
      </c>
      <c r="AV45" s="8">
        <f t="shared" si="6"/>
        <v>0</v>
      </c>
      <c r="AW45" s="8">
        <f t="shared" si="6"/>
        <v>0</v>
      </c>
      <c r="BC45" s="46"/>
    </row>
    <row r="46" spans="1:55" ht="15.75" customHeight="1" x14ac:dyDescent="0.2">
      <c r="A46" t="s">
        <v>42</v>
      </c>
      <c r="B46" s="69">
        <f t="shared" ref="B46:AW46" si="7">IF(B49=0,0,B52/B49)</f>
        <v>0</v>
      </c>
      <c r="C46" s="69">
        <f t="shared" si="7"/>
        <v>0</v>
      </c>
      <c r="D46" s="69">
        <f t="shared" si="7"/>
        <v>0</v>
      </c>
      <c r="E46" s="69">
        <f t="shared" si="7"/>
        <v>0</v>
      </c>
      <c r="F46" s="69">
        <f t="shared" si="7"/>
        <v>0</v>
      </c>
      <c r="G46" s="69">
        <f t="shared" si="7"/>
        <v>0</v>
      </c>
      <c r="H46" s="69">
        <f t="shared" si="7"/>
        <v>0</v>
      </c>
      <c r="I46" s="69">
        <f t="shared" si="7"/>
        <v>0</v>
      </c>
      <c r="J46" s="69">
        <f t="shared" si="7"/>
        <v>0</v>
      </c>
      <c r="K46" s="69">
        <f t="shared" si="7"/>
        <v>0</v>
      </c>
      <c r="L46" s="69">
        <f t="shared" si="7"/>
        <v>0</v>
      </c>
      <c r="M46" s="69">
        <f t="shared" si="7"/>
        <v>0</v>
      </c>
      <c r="N46" s="69">
        <f t="shared" si="7"/>
        <v>0</v>
      </c>
      <c r="O46" s="69">
        <f t="shared" si="7"/>
        <v>0</v>
      </c>
      <c r="P46" s="69">
        <f t="shared" si="7"/>
        <v>0</v>
      </c>
      <c r="Q46" s="69">
        <f t="shared" si="7"/>
        <v>0</v>
      </c>
      <c r="R46" s="69">
        <f t="shared" si="7"/>
        <v>0</v>
      </c>
      <c r="S46" s="69">
        <f t="shared" si="7"/>
        <v>0</v>
      </c>
      <c r="T46" s="69">
        <f t="shared" si="7"/>
        <v>0</v>
      </c>
      <c r="U46" s="69">
        <f t="shared" si="7"/>
        <v>0</v>
      </c>
      <c r="V46" s="69">
        <f t="shared" si="7"/>
        <v>0</v>
      </c>
      <c r="W46" s="69">
        <f t="shared" si="7"/>
        <v>0</v>
      </c>
      <c r="X46" s="69">
        <f t="shared" si="7"/>
        <v>0</v>
      </c>
      <c r="Y46" s="69">
        <f t="shared" si="7"/>
        <v>0</v>
      </c>
      <c r="Z46" s="69">
        <f t="shared" si="7"/>
        <v>0</v>
      </c>
      <c r="AA46" s="69">
        <f t="shared" si="7"/>
        <v>0</v>
      </c>
      <c r="AB46" s="69">
        <f t="shared" si="7"/>
        <v>0</v>
      </c>
      <c r="AC46" s="69">
        <f t="shared" si="7"/>
        <v>0</v>
      </c>
      <c r="AD46" s="69">
        <f t="shared" si="7"/>
        <v>0</v>
      </c>
      <c r="AE46" s="69">
        <f t="shared" si="7"/>
        <v>0</v>
      </c>
      <c r="AF46" s="69">
        <f t="shared" si="7"/>
        <v>0</v>
      </c>
      <c r="AG46" s="69">
        <f t="shared" si="7"/>
        <v>0</v>
      </c>
      <c r="AH46" s="69">
        <f t="shared" si="7"/>
        <v>0</v>
      </c>
      <c r="AI46" s="69">
        <f t="shared" si="7"/>
        <v>0</v>
      </c>
      <c r="AJ46" s="69">
        <f t="shared" si="7"/>
        <v>0</v>
      </c>
      <c r="AK46" s="69">
        <f t="shared" si="7"/>
        <v>0</v>
      </c>
      <c r="AL46" s="69">
        <f t="shared" si="7"/>
        <v>0</v>
      </c>
      <c r="AM46" s="69">
        <f t="shared" si="7"/>
        <v>0</v>
      </c>
      <c r="AN46" s="69">
        <f t="shared" si="7"/>
        <v>0</v>
      </c>
      <c r="AO46" s="69">
        <f t="shared" si="7"/>
        <v>0</v>
      </c>
      <c r="AP46" s="69">
        <f t="shared" si="7"/>
        <v>0</v>
      </c>
      <c r="AQ46" s="69">
        <f t="shared" si="7"/>
        <v>0</v>
      </c>
      <c r="AR46" s="69">
        <f t="shared" si="7"/>
        <v>0</v>
      </c>
      <c r="AS46" s="69">
        <f t="shared" si="7"/>
        <v>0</v>
      </c>
      <c r="AT46" s="69">
        <f t="shared" si="7"/>
        <v>0</v>
      </c>
      <c r="AU46" s="69">
        <f t="shared" si="7"/>
        <v>0</v>
      </c>
      <c r="AV46" s="69">
        <f t="shared" si="7"/>
        <v>0</v>
      </c>
      <c r="AW46" s="69">
        <f t="shared" si="7"/>
        <v>0</v>
      </c>
      <c r="BC46" s="46"/>
    </row>
    <row r="47" spans="1:55" ht="15.75" customHeight="1" x14ac:dyDescent="0.2">
      <c r="A47" t="s">
        <v>54</v>
      </c>
      <c r="B47" s="8">
        <f>IF(B5=0,0,B28/B5)</f>
        <v>0</v>
      </c>
      <c r="C47" s="8">
        <f>IF(SUM(B5,C5)=0,0,SUM(B28,C28)/SUM(B5,C5))</f>
        <v>0</v>
      </c>
      <c r="D47" s="8">
        <f>IF(SUM(B5,C5,D5)=0,0,SUM(B28,C28,D28)/SUM(B5,C5,D5))</f>
        <v>0</v>
      </c>
      <c r="E47" s="8">
        <f>IF(SUM(B5:E5)=0,0,SUM(B28:E28)/SUM(B5:E5))</f>
        <v>0</v>
      </c>
      <c r="F47" s="8">
        <f>IF(SUM(B5:F5)=0,0,SUM(B28:F28)/SUM(B5:F5))</f>
        <v>0</v>
      </c>
      <c r="G47" s="8">
        <f>IF(SUM(B5:G5)=0,0,SUM(B28:G28)/SUM(B5:G5))</f>
        <v>0</v>
      </c>
      <c r="H47" s="8">
        <f>IF(SUM(B5:H5)=0,0,SUM(B28:H28)/SUM(B5:H5))</f>
        <v>0</v>
      </c>
      <c r="I47" s="8">
        <f>IF(SUM(B5:I5)=0,0,SUM(B28:I28)/SUM(B5:I5))</f>
        <v>0</v>
      </c>
      <c r="J47" s="8">
        <f>IF(SUM(B5:J5)=0,0,SUM(B28:J28)/SUM(B5:J5))</f>
        <v>0</v>
      </c>
      <c r="K47" s="8">
        <f>IF(SUM(B5:K5)=0,0,SUM(B28:K28)/SUM(B5:K5))</f>
        <v>0</v>
      </c>
      <c r="L47" s="8">
        <f>IF(SUM(B5:L5)=0,0,SUM(B28:L28)/SUM(B5:L5))</f>
        <v>0</v>
      </c>
      <c r="M47" s="8">
        <f t="shared" ref="M47:AW47" si="8">IF(SUM(B5:M5)=0,0,SUM(B28:M28)/SUM(B5:M5))</f>
        <v>0</v>
      </c>
      <c r="N47" s="8">
        <f t="shared" si="8"/>
        <v>0</v>
      </c>
      <c r="O47" s="8">
        <f t="shared" si="8"/>
        <v>0</v>
      </c>
      <c r="P47" s="8">
        <f t="shared" si="8"/>
        <v>0</v>
      </c>
      <c r="Q47" s="8">
        <f t="shared" si="8"/>
        <v>0</v>
      </c>
      <c r="R47" s="8">
        <f t="shared" si="8"/>
        <v>0</v>
      </c>
      <c r="S47" s="8">
        <f t="shared" si="8"/>
        <v>0</v>
      </c>
      <c r="T47" s="8">
        <f t="shared" si="8"/>
        <v>0</v>
      </c>
      <c r="U47" s="8">
        <f t="shared" si="8"/>
        <v>0</v>
      </c>
      <c r="V47" s="8">
        <f t="shared" si="8"/>
        <v>0</v>
      </c>
      <c r="W47" s="8">
        <f t="shared" si="8"/>
        <v>0</v>
      </c>
      <c r="X47" s="8">
        <f t="shared" si="8"/>
        <v>0</v>
      </c>
      <c r="Y47" s="8">
        <f t="shared" si="8"/>
        <v>0</v>
      </c>
      <c r="Z47" s="8">
        <f t="shared" si="8"/>
        <v>0</v>
      </c>
      <c r="AA47" s="8">
        <f t="shared" si="8"/>
        <v>0</v>
      </c>
      <c r="AB47" s="8">
        <f t="shared" si="8"/>
        <v>0</v>
      </c>
      <c r="AC47" s="8">
        <f t="shared" si="8"/>
        <v>0</v>
      </c>
      <c r="AD47" s="8">
        <f t="shared" si="8"/>
        <v>0</v>
      </c>
      <c r="AE47" s="8">
        <f t="shared" si="8"/>
        <v>0</v>
      </c>
      <c r="AF47" s="8">
        <f t="shared" si="8"/>
        <v>0</v>
      </c>
      <c r="AG47" s="8">
        <f t="shared" si="8"/>
        <v>0</v>
      </c>
      <c r="AH47" s="8">
        <f t="shared" si="8"/>
        <v>0</v>
      </c>
      <c r="AI47" s="8">
        <f t="shared" si="8"/>
        <v>0</v>
      </c>
      <c r="AJ47" s="8">
        <f t="shared" si="8"/>
        <v>0</v>
      </c>
      <c r="AK47" s="8">
        <f t="shared" si="8"/>
        <v>0</v>
      </c>
      <c r="AL47" s="8">
        <f t="shared" si="8"/>
        <v>0</v>
      </c>
      <c r="AM47" s="8">
        <f t="shared" si="8"/>
        <v>0</v>
      </c>
      <c r="AN47" s="8">
        <f t="shared" si="8"/>
        <v>0</v>
      </c>
      <c r="AO47" s="8">
        <f t="shared" si="8"/>
        <v>0</v>
      </c>
      <c r="AP47" s="8">
        <f t="shared" si="8"/>
        <v>0</v>
      </c>
      <c r="AQ47" s="8">
        <f t="shared" si="8"/>
        <v>0</v>
      </c>
      <c r="AR47" s="8">
        <f t="shared" si="8"/>
        <v>0</v>
      </c>
      <c r="AS47" s="8">
        <f t="shared" si="8"/>
        <v>0</v>
      </c>
      <c r="AT47" s="8">
        <f t="shared" si="8"/>
        <v>0</v>
      </c>
      <c r="AU47" s="8">
        <f t="shared" si="8"/>
        <v>0</v>
      </c>
      <c r="AV47" s="8">
        <f t="shared" si="8"/>
        <v>0</v>
      </c>
      <c r="AW47" s="8">
        <f t="shared" si="8"/>
        <v>0</v>
      </c>
      <c r="BC47" s="46"/>
    </row>
    <row r="48" spans="1:55" ht="15.75" customHeight="1" x14ac:dyDescent="0.2">
      <c r="A48" t="s">
        <v>53</v>
      </c>
      <c r="B48" s="8">
        <f t="shared" ref="B48:AW48" si="9">IF(B51=0,0,B54/B51)</f>
        <v>0</v>
      </c>
      <c r="C48" s="8">
        <f t="shared" si="9"/>
        <v>0</v>
      </c>
      <c r="D48" s="8">
        <f t="shared" si="9"/>
        <v>0</v>
      </c>
      <c r="E48" s="8">
        <f t="shared" si="9"/>
        <v>0</v>
      </c>
      <c r="F48" s="8">
        <f t="shared" si="9"/>
        <v>0</v>
      </c>
      <c r="G48" s="8">
        <f t="shared" si="9"/>
        <v>0</v>
      </c>
      <c r="H48" s="8">
        <f t="shared" si="9"/>
        <v>0</v>
      </c>
      <c r="I48" s="8">
        <f t="shared" si="9"/>
        <v>0</v>
      </c>
      <c r="J48" s="8">
        <f t="shared" si="9"/>
        <v>0</v>
      </c>
      <c r="K48" s="8">
        <f t="shared" si="9"/>
        <v>0</v>
      </c>
      <c r="L48" s="8">
        <f t="shared" si="9"/>
        <v>0</v>
      </c>
      <c r="M48" s="8">
        <f t="shared" si="9"/>
        <v>0</v>
      </c>
      <c r="N48" s="8">
        <f t="shared" si="9"/>
        <v>0</v>
      </c>
      <c r="O48" s="8">
        <f t="shared" si="9"/>
        <v>0</v>
      </c>
      <c r="P48" s="8">
        <f t="shared" si="9"/>
        <v>0</v>
      </c>
      <c r="Q48" s="8">
        <f t="shared" si="9"/>
        <v>0</v>
      </c>
      <c r="R48" s="8">
        <f t="shared" si="9"/>
        <v>0</v>
      </c>
      <c r="S48" s="8">
        <f t="shared" si="9"/>
        <v>0</v>
      </c>
      <c r="T48" s="8">
        <f t="shared" si="9"/>
        <v>0</v>
      </c>
      <c r="U48" s="8">
        <f t="shared" si="9"/>
        <v>0</v>
      </c>
      <c r="V48" s="8">
        <f t="shared" si="9"/>
        <v>0</v>
      </c>
      <c r="W48" s="8">
        <f t="shared" si="9"/>
        <v>0</v>
      </c>
      <c r="X48" s="8">
        <f t="shared" si="9"/>
        <v>0</v>
      </c>
      <c r="Y48" s="8">
        <f t="shared" si="9"/>
        <v>0</v>
      </c>
      <c r="Z48" s="8">
        <f t="shared" si="9"/>
        <v>0</v>
      </c>
      <c r="AA48" s="8">
        <f t="shared" si="9"/>
        <v>0</v>
      </c>
      <c r="AB48" s="8">
        <f t="shared" si="9"/>
        <v>0</v>
      </c>
      <c r="AC48" s="8">
        <f t="shared" si="9"/>
        <v>0</v>
      </c>
      <c r="AD48" s="8">
        <f t="shared" si="9"/>
        <v>0</v>
      </c>
      <c r="AE48" s="8">
        <f t="shared" si="9"/>
        <v>0</v>
      </c>
      <c r="AF48" s="8">
        <f t="shared" si="9"/>
        <v>0</v>
      </c>
      <c r="AG48" s="8">
        <f t="shared" si="9"/>
        <v>0</v>
      </c>
      <c r="AH48" s="8">
        <f t="shared" si="9"/>
        <v>0</v>
      </c>
      <c r="AI48" s="8">
        <f t="shared" si="9"/>
        <v>0</v>
      </c>
      <c r="AJ48" s="8">
        <f t="shared" si="9"/>
        <v>0</v>
      </c>
      <c r="AK48" s="8">
        <f t="shared" si="9"/>
        <v>0</v>
      </c>
      <c r="AL48" s="8">
        <f t="shared" si="9"/>
        <v>0</v>
      </c>
      <c r="AM48" s="8">
        <f t="shared" si="9"/>
        <v>0</v>
      </c>
      <c r="AN48" s="8">
        <f t="shared" si="9"/>
        <v>0</v>
      </c>
      <c r="AO48" s="8">
        <f t="shared" si="9"/>
        <v>0</v>
      </c>
      <c r="AP48" s="8">
        <f t="shared" si="9"/>
        <v>0</v>
      </c>
      <c r="AQ48" s="8">
        <f t="shared" si="9"/>
        <v>0</v>
      </c>
      <c r="AR48" s="8">
        <f t="shared" si="9"/>
        <v>0</v>
      </c>
      <c r="AS48" s="8">
        <f t="shared" si="9"/>
        <v>0</v>
      </c>
      <c r="AT48" s="8">
        <f t="shared" si="9"/>
        <v>0</v>
      </c>
      <c r="AU48" s="8">
        <f t="shared" si="9"/>
        <v>0</v>
      </c>
      <c r="AV48" s="8">
        <f t="shared" si="9"/>
        <v>0</v>
      </c>
      <c r="AW48" s="8">
        <f t="shared" si="9"/>
        <v>0</v>
      </c>
      <c r="BC48" s="46"/>
    </row>
    <row r="49" spans="1:49" ht="15.75" customHeight="1" x14ac:dyDescent="0.2">
      <c r="A49" t="s">
        <v>41</v>
      </c>
      <c r="B49" s="42">
        <f>AVERAGE(B6)</f>
        <v>0</v>
      </c>
      <c r="C49" s="42">
        <f>AVERAGE(B6:C6)</f>
        <v>0</v>
      </c>
      <c r="D49" s="42">
        <f>AVERAGE(B6:D6)</f>
        <v>0</v>
      </c>
      <c r="E49" s="42">
        <f t="shared" ref="E49:G49" si="10">IF(E6=0,0,AVERAGE(C6:E6))</f>
        <v>0</v>
      </c>
      <c r="F49" s="42">
        <f t="shared" si="10"/>
        <v>0</v>
      </c>
      <c r="G49" s="42">
        <f t="shared" si="10"/>
        <v>0</v>
      </c>
      <c r="H49" s="42">
        <f t="shared" ref="H49:AW49" si="11">AVERAGE(F6:H6)</f>
        <v>0</v>
      </c>
      <c r="I49" s="42">
        <f t="shared" si="11"/>
        <v>0</v>
      </c>
      <c r="J49" s="42">
        <f t="shared" si="11"/>
        <v>0</v>
      </c>
      <c r="K49" s="42">
        <f t="shared" si="11"/>
        <v>0</v>
      </c>
      <c r="L49" s="42">
        <f t="shared" si="11"/>
        <v>0</v>
      </c>
      <c r="M49" s="42">
        <f t="shared" si="11"/>
        <v>0</v>
      </c>
      <c r="N49" s="42">
        <f t="shared" si="11"/>
        <v>0</v>
      </c>
      <c r="O49" s="42">
        <f t="shared" si="11"/>
        <v>0</v>
      </c>
      <c r="P49" s="42">
        <f t="shared" si="11"/>
        <v>0</v>
      </c>
      <c r="Q49" s="42">
        <f t="shared" si="11"/>
        <v>0</v>
      </c>
      <c r="R49" s="42">
        <f t="shared" si="11"/>
        <v>0</v>
      </c>
      <c r="S49" s="42">
        <f t="shared" si="11"/>
        <v>0</v>
      </c>
      <c r="T49" s="42">
        <f t="shared" si="11"/>
        <v>0</v>
      </c>
      <c r="U49" s="42">
        <f t="shared" si="11"/>
        <v>0</v>
      </c>
      <c r="V49" s="42">
        <f t="shared" si="11"/>
        <v>0</v>
      </c>
      <c r="W49" s="42">
        <f t="shared" si="11"/>
        <v>0</v>
      </c>
      <c r="X49" s="42">
        <f t="shared" si="11"/>
        <v>0</v>
      </c>
      <c r="Y49" s="42">
        <f t="shared" si="11"/>
        <v>0</v>
      </c>
      <c r="Z49" s="42">
        <f t="shared" si="11"/>
        <v>0</v>
      </c>
      <c r="AA49" s="42">
        <f t="shared" si="11"/>
        <v>0</v>
      </c>
      <c r="AB49" s="42">
        <f t="shared" si="11"/>
        <v>0</v>
      </c>
      <c r="AC49" s="42">
        <f t="shared" si="11"/>
        <v>0</v>
      </c>
      <c r="AD49" s="42">
        <f t="shared" si="11"/>
        <v>0</v>
      </c>
      <c r="AE49" s="42">
        <f t="shared" si="11"/>
        <v>0</v>
      </c>
      <c r="AF49" s="42">
        <f t="shared" si="11"/>
        <v>0</v>
      </c>
      <c r="AG49" s="42">
        <f t="shared" si="11"/>
        <v>0</v>
      </c>
      <c r="AH49" s="42">
        <f t="shared" si="11"/>
        <v>0</v>
      </c>
      <c r="AI49" s="42">
        <f t="shared" si="11"/>
        <v>0</v>
      </c>
      <c r="AJ49" s="42">
        <f t="shared" si="11"/>
        <v>0</v>
      </c>
      <c r="AK49" s="42">
        <f t="shared" si="11"/>
        <v>0</v>
      </c>
      <c r="AL49" s="42">
        <f t="shared" si="11"/>
        <v>0</v>
      </c>
      <c r="AM49" s="42">
        <f t="shared" si="11"/>
        <v>0</v>
      </c>
      <c r="AN49" s="42">
        <f t="shared" si="11"/>
        <v>0</v>
      </c>
      <c r="AO49" s="42">
        <f t="shared" si="11"/>
        <v>0</v>
      </c>
      <c r="AP49" s="42">
        <f t="shared" si="11"/>
        <v>0</v>
      </c>
      <c r="AQ49" s="42">
        <f t="shared" si="11"/>
        <v>0</v>
      </c>
      <c r="AR49" s="42">
        <f t="shared" si="11"/>
        <v>0</v>
      </c>
      <c r="AS49" s="42">
        <f t="shared" si="11"/>
        <v>0</v>
      </c>
      <c r="AT49" s="42">
        <f t="shared" si="11"/>
        <v>0</v>
      </c>
      <c r="AU49" s="42">
        <f t="shared" si="11"/>
        <v>0</v>
      </c>
      <c r="AV49" s="42">
        <f t="shared" si="11"/>
        <v>0</v>
      </c>
      <c r="AW49" s="42">
        <f t="shared" si="11"/>
        <v>0</v>
      </c>
    </row>
    <row r="50" spans="1:49" ht="15.75" customHeight="1" x14ac:dyDescent="0.2">
      <c r="A50" t="s">
        <v>47</v>
      </c>
      <c r="B50" s="42">
        <f>AVERAGE(B6)</f>
        <v>0</v>
      </c>
      <c r="C50" s="42">
        <f>AVERAGE(B6:C6)</f>
        <v>0</v>
      </c>
      <c r="D50" s="42">
        <f>AVERAGE(B6:D6)</f>
        <v>0</v>
      </c>
      <c r="E50" s="42">
        <f>IF(E6=0,0,AVERAGE(B6:E6))</f>
        <v>0</v>
      </c>
      <c r="F50" s="8">
        <f>IF(F6=0,0,AVERAGE(B6:F6))</f>
        <v>0</v>
      </c>
      <c r="G50" s="8">
        <f t="shared" ref="G50:AW50" si="12">IF(G6=0,0,AVERAGE(B6:G6))</f>
        <v>0</v>
      </c>
      <c r="H50" s="8">
        <f t="shared" si="12"/>
        <v>0</v>
      </c>
      <c r="I50" s="8">
        <f t="shared" si="12"/>
        <v>0</v>
      </c>
      <c r="J50" s="8">
        <f t="shared" si="12"/>
        <v>0</v>
      </c>
      <c r="K50" s="8">
        <f t="shared" si="12"/>
        <v>0</v>
      </c>
      <c r="L50" s="8">
        <f t="shared" si="12"/>
        <v>0</v>
      </c>
      <c r="M50" s="8">
        <f t="shared" si="12"/>
        <v>0</v>
      </c>
      <c r="N50" s="8">
        <f t="shared" si="12"/>
        <v>0</v>
      </c>
      <c r="O50" s="8">
        <f t="shared" si="12"/>
        <v>0</v>
      </c>
      <c r="P50" s="8">
        <f t="shared" si="12"/>
        <v>0</v>
      </c>
      <c r="Q50" s="8">
        <f t="shared" si="12"/>
        <v>0</v>
      </c>
      <c r="R50" s="8">
        <f t="shared" si="12"/>
        <v>0</v>
      </c>
      <c r="S50" s="8">
        <f t="shared" si="12"/>
        <v>0</v>
      </c>
      <c r="T50" s="8">
        <f t="shared" si="12"/>
        <v>0</v>
      </c>
      <c r="U50" s="42">
        <f t="shared" si="12"/>
        <v>0</v>
      </c>
      <c r="V50" s="42">
        <f t="shared" si="12"/>
        <v>0</v>
      </c>
      <c r="W50" s="42">
        <f t="shared" si="12"/>
        <v>0</v>
      </c>
      <c r="X50" s="42">
        <f t="shared" si="12"/>
        <v>0</v>
      </c>
      <c r="Y50" s="42">
        <f t="shared" si="12"/>
        <v>0</v>
      </c>
      <c r="Z50" s="42">
        <f t="shared" si="12"/>
        <v>0</v>
      </c>
      <c r="AA50" s="42">
        <f t="shared" si="12"/>
        <v>0</v>
      </c>
      <c r="AB50" s="8">
        <f t="shared" si="12"/>
        <v>0</v>
      </c>
      <c r="AC50" s="8">
        <f t="shared" si="12"/>
        <v>0</v>
      </c>
      <c r="AD50" s="8">
        <f t="shared" si="12"/>
        <v>0</v>
      </c>
      <c r="AE50" s="8">
        <f t="shared" si="12"/>
        <v>0</v>
      </c>
      <c r="AF50" s="8">
        <f t="shared" si="12"/>
        <v>0</v>
      </c>
      <c r="AG50" s="8">
        <f t="shared" si="12"/>
        <v>0</v>
      </c>
      <c r="AH50" s="8">
        <f t="shared" si="12"/>
        <v>0</v>
      </c>
      <c r="AI50" s="8">
        <f t="shared" si="12"/>
        <v>0</v>
      </c>
      <c r="AJ50" s="8">
        <f t="shared" si="12"/>
        <v>0</v>
      </c>
      <c r="AK50" s="8">
        <f t="shared" si="12"/>
        <v>0</v>
      </c>
      <c r="AL50" s="8">
        <f t="shared" si="12"/>
        <v>0</v>
      </c>
      <c r="AM50" s="8">
        <f t="shared" si="12"/>
        <v>0</v>
      </c>
      <c r="AN50" s="8">
        <f t="shared" si="12"/>
        <v>0</v>
      </c>
      <c r="AO50" s="8">
        <f t="shared" si="12"/>
        <v>0</v>
      </c>
      <c r="AP50" s="8">
        <f t="shared" si="12"/>
        <v>0</v>
      </c>
      <c r="AQ50" s="8">
        <f t="shared" si="12"/>
        <v>0</v>
      </c>
      <c r="AR50" s="8">
        <f t="shared" si="12"/>
        <v>0</v>
      </c>
      <c r="AS50" s="8">
        <f t="shared" si="12"/>
        <v>0</v>
      </c>
      <c r="AT50" s="8">
        <f t="shared" si="12"/>
        <v>0</v>
      </c>
      <c r="AU50" s="8">
        <f t="shared" si="12"/>
        <v>0</v>
      </c>
      <c r="AV50" s="8">
        <f t="shared" si="12"/>
        <v>0</v>
      </c>
      <c r="AW50" s="8">
        <f t="shared" si="12"/>
        <v>0</v>
      </c>
    </row>
    <row r="51" spans="1:49" ht="15.75" customHeight="1" x14ac:dyDescent="0.2">
      <c r="A51" t="s">
        <v>34</v>
      </c>
      <c r="B51" s="42">
        <f>AVERAGE(B6)</f>
        <v>0</v>
      </c>
      <c r="C51" s="42">
        <f>AVERAGE(B6:C6)</f>
        <v>0</v>
      </c>
      <c r="D51" s="42">
        <f>AVERAGE(B6:D6)</f>
        <v>0</v>
      </c>
      <c r="E51" s="8">
        <f>IF(E6=0,0,AVERAGE(B6:E6))</f>
        <v>0</v>
      </c>
      <c r="F51" s="8">
        <f>IF(F6=0,0,AVERAGE(B6:F6))</f>
        <v>0</v>
      </c>
      <c r="G51" s="8">
        <f>IF(G6=0,0,AVERAGE(B6:G6))</f>
        <v>0</v>
      </c>
      <c r="H51" s="8">
        <f>IF(H6=0,0,AVERAGE(B6:H6))</f>
        <v>0</v>
      </c>
      <c r="I51" s="8">
        <f>IF(I6=0,0,AVERAGE(B6:I6))</f>
        <v>0</v>
      </c>
      <c r="J51" s="8">
        <f>IF(J6=0,0,AVERAGE(B6:J6))</f>
        <v>0</v>
      </c>
      <c r="K51" s="8">
        <f>IF(K6=0,0,AVERAGE(B6:K6))</f>
        <v>0</v>
      </c>
      <c r="L51" s="8">
        <f>IF(L6=0,0,AVERAGE(B6:L6))</f>
        <v>0</v>
      </c>
      <c r="M51" s="8">
        <f t="shared" ref="M51:AW51" si="13">IF(M6=0,0,AVERAGE(B6:M6))</f>
        <v>0</v>
      </c>
      <c r="N51" s="8">
        <f t="shared" si="13"/>
        <v>0</v>
      </c>
      <c r="O51" s="8">
        <f t="shared" si="13"/>
        <v>0</v>
      </c>
      <c r="P51" s="8">
        <f t="shared" si="13"/>
        <v>0</v>
      </c>
      <c r="Q51" s="8">
        <f t="shared" si="13"/>
        <v>0</v>
      </c>
      <c r="R51" s="8">
        <f t="shared" si="13"/>
        <v>0</v>
      </c>
      <c r="S51" s="8">
        <f t="shared" si="13"/>
        <v>0</v>
      </c>
      <c r="T51" s="8">
        <f t="shared" si="13"/>
        <v>0</v>
      </c>
      <c r="U51" s="42">
        <f t="shared" si="13"/>
        <v>0</v>
      </c>
      <c r="V51" s="42">
        <f t="shared" si="13"/>
        <v>0</v>
      </c>
      <c r="W51" s="42">
        <f t="shared" si="13"/>
        <v>0</v>
      </c>
      <c r="X51" s="42">
        <f t="shared" si="13"/>
        <v>0</v>
      </c>
      <c r="Y51" s="42">
        <f t="shared" si="13"/>
        <v>0</v>
      </c>
      <c r="Z51" s="42">
        <f t="shared" si="13"/>
        <v>0</v>
      </c>
      <c r="AA51" s="42">
        <f t="shared" si="13"/>
        <v>0</v>
      </c>
      <c r="AB51" s="8">
        <f t="shared" si="13"/>
        <v>0</v>
      </c>
      <c r="AC51" s="8">
        <f t="shared" si="13"/>
        <v>0</v>
      </c>
      <c r="AD51" s="8">
        <f t="shared" si="13"/>
        <v>0</v>
      </c>
      <c r="AE51" s="8">
        <f t="shared" si="13"/>
        <v>0</v>
      </c>
      <c r="AF51" s="8">
        <f t="shared" si="13"/>
        <v>0</v>
      </c>
      <c r="AG51" s="8">
        <f t="shared" si="13"/>
        <v>0</v>
      </c>
      <c r="AH51" s="8">
        <f t="shared" si="13"/>
        <v>0</v>
      </c>
      <c r="AI51" s="8">
        <f t="shared" si="13"/>
        <v>0</v>
      </c>
      <c r="AJ51" s="8">
        <f t="shared" si="13"/>
        <v>0</v>
      </c>
      <c r="AK51" s="8">
        <f t="shared" si="13"/>
        <v>0</v>
      </c>
      <c r="AL51" s="8">
        <f t="shared" si="13"/>
        <v>0</v>
      </c>
      <c r="AM51" s="8">
        <f t="shared" si="13"/>
        <v>0</v>
      </c>
      <c r="AN51" s="8">
        <f t="shared" si="13"/>
        <v>0</v>
      </c>
      <c r="AO51" s="8">
        <f t="shared" si="13"/>
        <v>0</v>
      </c>
      <c r="AP51" s="8">
        <f t="shared" si="13"/>
        <v>0</v>
      </c>
      <c r="AQ51" s="8">
        <f t="shared" si="13"/>
        <v>0</v>
      </c>
      <c r="AR51" s="8">
        <f t="shared" si="13"/>
        <v>0</v>
      </c>
      <c r="AS51" s="8">
        <f t="shared" si="13"/>
        <v>0</v>
      </c>
      <c r="AT51" s="8">
        <f t="shared" si="13"/>
        <v>0</v>
      </c>
      <c r="AU51" s="8">
        <f t="shared" si="13"/>
        <v>0</v>
      </c>
      <c r="AV51" s="8">
        <f t="shared" si="13"/>
        <v>0</v>
      </c>
      <c r="AW51" s="8">
        <f t="shared" si="13"/>
        <v>0</v>
      </c>
    </row>
    <row r="52" spans="1:49" ht="15.75" customHeight="1" x14ac:dyDescent="0.2">
      <c r="A52" t="s">
        <v>45</v>
      </c>
      <c r="B52" s="69">
        <f>B42</f>
        <v>0</v>
      </c>
      <c r="C52" s="69">
        <f>IF(C42=0,0,AVERAGE(B42:C42))</f>
        <v>0</v>
      </c>
      <c r="D52" s="8">
        <f t="shared" ref="D52:AW52" si="14">IF(D42=0,0,AVERAGE(B42:D42))</f>
        <v>0</v>
      </c>
      <c r="E52" s="8">
        <f t="shared" si="14"/>
        <v>0</v>
      </c>
      <c r="F52" s="8">
        <f t="shared" si="14"/>
        <v>0</v>
      </c>
      <c r="G52" s="8">
        <f t="shared" si="14"/>
        <v>0</v>
      </c>
      <c r="H52" s="8">
        <f t="shared" si="14"/>
        <v>0</v>
      </c>
      <c r="I52" s="8">
        <f t="shared" si="14"/>
        <v>0</v>
      </c>
      <c r="J52" s="8">
        <f t="shared" si="14"/>
        <v>0</v>
      </c>
      <c r="K52" s="8">
        <f t="shared" si="14"/>
        <v>0</v>
      </c>
      <c r="L52" s="8">
        <f t="shared" si="14"/>
        <v>0</v>
      </c>
      <c r="M52" s="8">
        <f t="shared" si="14"/>
        <v>0</v>
      </c>
      <c r="N52" s="8">
        <f t="shared" si="14"/>
        <v>0</v>
      </c>
      <c r="O52" s="8">
        <f t="shared" si="14"/>
        <v>0</v>
      </c>
      <c r="P52" s="8">
        <f t="shared" si="14"/>
        <v>0</v>
      </c>
      <c r="Q52" s="8">
        <f t="shared" si="14"/>
        <v>0</v>
      </c>
      <c r="R52" s="8">
        <f t="shared" si="14"/>
        <v>0</v>
      </c>
      <c r="S52" s="8">
        <f t="shared" si="14"/>
        <v>0</v>
      </c>
      <c r="T52" s="8">
        <f t="shared" si="14"/>
        <v>0</v>
      </c>
      <c r="U52" s="8">
        <f t="shared" si="14"/>
        <v>0</v>
      </c>
      <c r="V52" s="8">
        <f t="shared" si="14"/>
        <v>0</v>
      </c>
      <c r="W52" s="8">
        <f t="shared" si="14"/>
        <v>0</v>
      </c>
      <c r="X52" s="8">
        <f t="shared" si="14"/>
        <v>0</v>
      </c>
      <c r="Y52" s="8">
        <f t="shared" si="14"/>
        <v>0</v>
      </c>
      <c r="Z52" s="8">
        <f t="shared" si="14"/>
        <v>0</v>
      </c>
      <c r="AA52" s="8">
        <f t="shared" si="14"/>
        <v>0</v>
      </c>
      <c r="AB52" s="8">
        <f t="shared" si="14"/>
        <v>0</v>
      </c>
      <c r="AC52" s="8">
        <f t="shared" si="14"/>
        <v>0</v>
      </c>
      <c r="AD52" s="8">
        <f t="shared" si="14"/>
        <v>0</v>
      </c>
      <c r="AE52" s="8">
        <f t="shared" si="14"/>
        <v>0</v>
      </c>
      <c r="AF52" s="8">
        <f t="shared" si="14"/>
        <v>0</v>
      </c>
      <c r="AG52" s="8">
        <f t="shared" si="14"/>
        <v>0</v>
      </c>
      <c r="AH52" s="8">
        <f t="shared" si="14"/>
        <v>0</v>
      </c>
      <c r="AI52" s="8">
        <f t="shared" si="14"/>
        <v>0</v>
      </c>
      <c r="AJ52" s="8">
        <f t="shared" si="14"/>
        <v>0</v>
      </c>
      <c r="AK52" s="8">
        <f t="shared" si="14"/>
        <v>0</v>
      </c>
      <c r="AL52" s="8">
        <f t="shared" si="14"/>
        <v>0</v>
      </c>
      <c r="AM52" s="8">
        <f t="shared" si="14"/>
        <v>0</v>
      </c>
      <c r="AN52" s="8">
        <f t="shared" si="14"/>
        <v>0</v>
      </c>
      <c r="AO52" s="8">
        <f t="shared" si="14"/>
        <v>0</v>
      </c>
      <c r="AP52" s="8">
        <f t="shared" si="14"/>
        <v>0</v>
      </c>
      <c r="AQ52" s="8">
        <f t="shared" si="14"/>
        <v>0</v>
      </c>
      <c r="AR52" s="8">
        <f t="shared" si="14"/>
        <v>0</v>
      </c>
      <c r="AS52" s="8">
        <f t="shared" si="14"/>
        <v>0</v>
      </c>
      <c r="AT52" s="8">
        <f t="shared" si="14"/>
        <v>0</v>
      </c>
      <c r="AU52" s="8">
        <f t="shared" si="14"/>
        <v>0</v>
      </c>
      <c r="AV52" s="8">
        <f t="shared" si="14"/>
        <v>0</v>
      </c>
      <c r="AW52" s="8">
        <f t="shared" si="14"/>
        <v>0</v>
      </c>
    </row>
    <row r="53" spans="1:49" ht="15.75" customHeight="1" x14ac:dyDescent="0.2">
      <c r="A53" t="s">
        <v>51</v>
      </c>
      <c r="B53" s="69">
        <f>B42</f>
        <v>0</v>
      </c>
      <c r="C53" s="69">
        <f>IF(C42=0,0,AVERAGE(B42:C42))</f>
        <v>0</v>
      </c>
      <c r="D53" s="8">
        <f>IF(D42=0,0,AVERAGE(B42:D42))</f>
        <v>0</v>
      </c>
      <c r="E53" s="8">
        <f>IF(E42=0,0,AVERAGE(B42:E42))</f>
        <v>0</v>
      </c>
      <c r="F53" s="8">
        <f>IF(F42=0,0,AVERAGE(B42:F42))</f>
        <v>0</v>
      </c>
      <c r="G53" s="8">
        <f t="shared" ref="G53:AW53" si="15">IF(G42=0,0,AVERAGE(B42:G42))</f>
        <v>0</v>
      </c>
      <c r="H53" s="8">
        <f t="shared" si="15"/>
        <v>0</v>
      </c>
      <c r="I53" s="8">
        <f t="shared" si="15"/>
        <v>0</v>
      </c>
      <c r="J53" s="8">
        <f t="shared" si="15"/>
        <v>0</v>
      </c>
      <c r="K53" s="8">
        <f t="shared" si="15"/>
        <v>0</v>
      </c>
      <c r="L53" s="8">
        <f t="shared" si="15"/>
        <v>0</v>
      </c>
      <c r="M53" s="8">
        <f t="shared" si="15"/>
        <v>0</v>
      </c>
      <c r="N53" s="8">
        <f t="shared" si="15"/>
        <v>0</v>
      </c>
      <c r="O53" s="8">
        <f t="shared" si="15"/>
        <v>0</v>
      </c>
      <c r="P53" s="8">
        <f t="shared" si="15"/>
        <v>0</v>
      </c>
      <c r="Q53" s="8">
        <f t="shared" si="15"/>
        <v>0</v>
      </c>
      <c r="R53" s="8">
        <f t="shared" si="15"/>
        <v>0</v>
      </c>
      <c r="S53" s="8">
        <f t="shared" si="15"/>
        <v>0</v>
      </c>
      <c r="T53" s="8">
        <f t="shared" si="15"/>
        <v>0</v>
      </c>
      <c r="U53" s="8">
        <f t="shared" si="15"/>
        <v>0</v>
      </c>
      <c r="V53" s="8">
        <f t="shared" si="15"/>
        <v>0</v>
      </c>
      <c r="W53" s="8">
        <f t="shared" si="15"/>
        <v>0</v>
      </c>
      <c r="X53" s="8">
        <f t="shared" si="15"/>
        <v>0</v>
      </c>
      <c r="Y53" s="8">
        <f t="shared" si="15"/>
        <v>0</v>
      </c>
      <c r="Z53" s="8">
        <f t="shared" si="15"/>
        <v>0</v>
      </c>
      <c r="AA53" s="8">
        <f t="shared" si="15"/>
        <v>0</v>
      </c>
      <c r="AB53" s="8">
        <f t="shared" si="15"/>
        <v>0</v>
      </c>
      <c r="AC53" s="8">
        <f t="shared" si="15"/>
        <v>0</v>
      </c>
      <c r="AD53" s="8">
        <f t="shared" si="15"/>
        <v>0</v>
      </c>
      <c r="AE53" s="8">
        <f t="shared" si="15"/>
        <v>0</v>
      </c>
      <c r="AF53" s="8">
        <f t="shared" si="15"/>
        <v>0</v>
      </c>
      <c r="AG53" s="8">
        <f t="shared" si="15"/>
        <v>0</v>
      </c>
      <c r="AH53" s="8">
        <f t="shared" si="15"/>
        <v>0</v>
      </c>
      <c r="AI53" s="8">
        <f t="shared" si="15"/>
        <v>0</v>
      </c>
      <c r="AJ53" s="8">
        <f t="shared" si="15"/>
        <v>0</v>
      </c>
      <c r="AK53" s="8">
        <f t="shared" si="15"/>
        <v>0</v>
      </c>
      <c r="AL53" s="8">
        <f t="shared" si="15"/>
        <v>0</v>
      </c>
      <c r="AM53" s="8">
        <f t="shared" si="15"/>
        <v>0</v>
      </c>
      <c r="AN53" s="8">
        <f t="shared" si="15"/>
        <v>0</v>
      </c>
      <c r="AO53" s="8">
        <f t="shared" si="15"/>
        <v>0</v>
      </c>
      <c r="AP53" s="8">
        <f t="shared" si="15"/>
        <v>0</v>
      </c>
      <c r="AQ53" s="8">
        <f t="shared" si="15"/>
        <v>0</v>
      </c>
      <c r="AR53" s="8">
        <f t="shared" si="15"/>
        <v>0</v>
      </c>
      <c r="AS53" s="8">
        <f t="shared" si="15"/>
        <v>0</v>
      </c>
      <c r="AT53" s="8">
        <f t="shared" si="15"/>
        <v>0</v>
      </c>
      <c r="AU53" s="8">
        <f t="shared" si="15"/>
        <v>0</v>
      </c>
      <c r="AV53" s="8">
        <f t="shared" si="15"/>
        <v>0</v>
      </c>
      <c r="AW53" s="8">
        <f t="shared" si="15"/>
        <v>0</v>
      </c>
    </row>
    <row r="54" spans="1:49" ht="15.75" customHeight="1" x14ac:dyDescent="0.2">
      <c r="A54" t="s">
        <v>56</v>
      </c>
      <c r="B54" s="69">
        <f>B42</f>
        <v>0</v>
      </c>
      <c r="C54" s="69">
        <f>IF(C42=0,0,AVERAGE(B42:C42))</f>
        <v>0</v>
      </c>
      <c r="D54" s="8">
        <f>IF(D42=0,0,AVERAGE(B42:D42))</f>
        <v>0</v>
      </c>
      <c r="E54" s="8">
        <f>IF(E42=0,0,AVERAGE(B42:E42))</f>
        <v>0</v>
      </c>
      <c r="F54" s="8">
        <f>IF(F42=0,0,AVERAGE(B42:F42))</f>
        <v>0</v>
      </c>
      <c r="G54" s="8">
        <f>IF(G42=0,0,AVERAGE(B42:G42))</f>
        <v>0</v>
      </c>
      <c r="H54" s="8">
        <f>IF(H42=0,0,AVERAGE(B42:H42))</f>
        <v>0</v>
      </c>
      <c r="I54" s="8">
        <f>IF(I42=0,0,AVERAGE(B42:I42))</f>
        <v>0</v>
      </c>
      <c r="J54" s="8">
        <f>IF(J42=0,0,AVERAGE(B42:J42))</f>
        <v>0</v>
      </c>
      <c r="K54" s="8">
        <f>IF(K42=0,0,AVERAGE(B42:K42))</f>
        <v>0</v>
      </c>
      <c r="L54" s="8">
        <f>IF(L42=0,0,AVERAGE(B42:L42))</f>
        <v>0</v>
      </c>
      <c r="M54" s="8">
        <f t="shared" ref="M54:AW54" si="16">IF(M42=0,0,AVERAGE(B42:M42))</f>
        <v>0</v>
      </c>
      <c r="N54" s="8">
        <f t="shared" si="16"/>
        <v>0</v>
      </c>
      <c r="O54" s="8">
        <f t="shared" si="16"/>
        <v>0</v>
      </c>
      <c r="P54" s="8">
        <f t="shared" si="16"/>
        <v>0</v>
      </c>
      <c r="Q54" s="8">
        <f t="shared" si="16"/>
        <v>0</v>
      </c>
      <c r="R54" s="8">
        <f t="shared" si="16"/>
        <v>0</v>
      </c>
      <c r="S54" s="8">
        <f t="shared" si="16"/>
        <v>0</v>
      </c>
      <c r="T54" s="8">
        <f t="shared" si="16"/>
        <v>0</v>
      </c>
      <c r="U54" s="8">
        <f t="shared" si="16"/>
        <v>0</v>
      </c>
      <c r="V54" s="8">
        <f t="shared" si="16"/>
        <v>0</v>
      </c>
      <c r="W54" s="8">
        <f t="shared" si="16"/>
        <v>0</v>
      </c>
      <c r="X54" s="8">
        <f t="shared" si="16"/>
        <v>0</v>
      </c>
      <c r="Y54" s="8">
        <f t="shared" si="16"/>
        <v>0</v>
      </c>
      <c r="Z54" s="8">
        <f t="shared" si="16"/>
        <v>0</v>
      </c>
      <c r="AA54" s="8">
        <f t="shared" si="16"/>
        <v>0</v>
      </c>
      <c r="AB54" s="8">
        <f t="shared" si="16"/>
        <v>0</v>
      </c>
      <c r="AC54" s="8">
        <f t="shared" si="16"/>
        <v>0</v>
      </c>
      <c r="AD54" s="8">
        <f t="shared" si="16"/>
        <v>0</v>
      </c>
      <c r="AE54" s="8">
        <f t="shared" si="16"/>
        <v>0</v>
      </c>
      <c r="AF54" s="8">
        <f t="shared" si="16"/>
        <v>0</v>
      </c>
      <c r="AG54" s="8">
        <f t="shared" si="16"/>
        <v>0</v>
      </c>
      <c r="AH54" s="8">
        <f t="shared" si="16"/>
        <v>0</v>
      </c>
      <c r="AI54" s="8">
        <f t="shared" si="16"/>
        <v>0</v>
      </c>
      <c r="AJ54" s="8">
        <f t="shared" si="16"/>
        <v>0</v>
      </c>
      <c r="AK54" s="8">
        <f t="shared" si="16"/>
        <v>0</v>
      </c>
      <c r="AL54" s="8">
        <f t="shared" si="16"/>
        <v>0</v>
      </c>
      <c r="AM54" s="8">
        <f t="shared" si="16"/>
        <v>0</v>
      </c>
      <c r="AN54" s="8">
        <f t="shared" si="16"/>
        <v>0</v>
      </c>
      <c r="AO54" s="8">
        <f t="shared" si="16"/>
        <v>0</v>
      </c>
      <c r="AP54" s="8">
        <f t="shared" si="16"/>
        <v>0</v>
      </c>
      <c r="AQ54" s="8">
        <f t="shared" si="16"/>
        <v>0</v>
      </c>
      <c r="AR54" s="8">
        <f t="shared" si="16"/>
        <v>0</v>
      </c>
      <c r="AS54" s="8">
        <f t="shared" si="16"/>
        <v>0</v>
      </c>
      <c r="AT54" s="8">
        <f t="shared" si="16"/>
        <v>0</v>
      </c>
      <c r="AU54" s="8">
        <f t="shared" si="16"/>
        <v>0</v>
      </c>
      <c r="AV54" s="8">
        <f t="shared" si="16"/>
        <v>0</v>
      </c>
      <c r="AW54" s="8">
        <f t="shared" si="16"/>
        <v>0</v>
      </c>
    </row>
    <row r="55" spans="1:49" ht="15.75" customHeight="1" x14ac:dyDescent="0.2">
      <c r="A55" t="s">
        <v>39</v>
      </c>
      <c r="B55" s="70">
        <f t="shared" ref="B55:AW55" si="17">IFERROR(B7/B3,0)</f>
        <v>0</v>
      </c>
      <c r="C55" s="70">
        <f t="shared" si="17"/>
        <v>0</v>
      </c>
      <c r="D55" s="70">
        <f t="shared" si="17"/>
        <v>0</v>
      </c>
      <c r="E55" s="70">
        <f t="shared" si="17"/>
        <v>0</v>
      </c>
      <c r="F55" s="70">
        <f t="shared" si="17"/>
        <v>0</v>
      </c>
      <c r="G55" s="70">
        <f t="shared" si="17"/>
        <v>0</v>
      </c>
      <c r="H55" s="70">
        <f t="shared" si="17"/>
        <v>0</v>
      </c>
      <c r="I55" s="70">
        <f t="shared" si="17"/>
        <v>0</v>
      </c>
      <c r="J55" s="70">
        <f t="shared" si="17"/>
        <v>0</v>
      </c>
      <c r="K55" s="70">
        <f t="shared" si="17"/>
        <v>0</v>
      </c>
      <c r="L55" s="70">
        <f t="shared" si="17"/>
        <v>0</v>
      </c>
      <c r="M55" s="70">
        <f t="shared" si="17"/>
        <v>0</v>
      </c>
      <c r="N55" s="70">
        <f t="shared" si="17"/>
        <v>0</v>
      </c>
      <c r="O55" s="70">
        <f t="shared" si="17"/>
        <v>0</v>
      </c>
      <c r="P55" s="70">
        <f t="shared" si="17"/>
        <v>0</v>
      </c>
      <c r="Q55" s="70">
        <f t="shared" si="17"/>
        <v>0</v>
      </c>
      <c r="R55" s="70">
        <f t="shared" si="17"/>
        <v>0</v>
      </c>
      <c r="S55" s="70">
        <f t="shared" si="17"/>
        <v>0</v>
      </c>
      <c r="T55" s="70">
        <f t="shared" si="17"/>
        <v>0</v>
      </c>
      <c r="U55" s="70">
        <f t="shared" si="17"/>
        <v>0</v>
      </c>
      <c r="V55" s="70">
        <f t="shared" si="17"/>
        <v>0</v>
      </c>
      <c r="W55" s="70">
        <f t="shared" si="17"/>
        <v>0</v>
      </c>
      <c r="X55" s="70">
        <f t="shared" si="17"/>
        <v>0</v>
      </c>
      <c r="Y55" s="70">
        <f t="shared" si="17"/>
        <v>0</v>
      </c>
      <c r="Z55" s="70">
        <f t="shared" si="17"/>
        <v>0</v>
      </c>
      <c r="AA55" s="70">
        <f t="shared" si="17"/>
        <v>0</v>
      </c>
      <c r="AB55" s="70">
        <f t="shared" si="17"/>
        <v>0</v>
      </c>
      <c r="AC55" s="70">
        <f t="shared" si="17"/>
        <v>0</v>
      </c>
      <c r="AD55" s="70">
        <f t="shared" si="17"/>
        <v>0</v>
      </c>
      <c r="AE55" s="70">
        <f t="shared" si="17"/>
        <v>0</v>
      </c>
      <c r="AF55" s="70">
        <f t="shared" si="17"/>
        <v>0</v>
      </c>
      <c r="AG55" s="70">
        <f t="shared" si="17"/>
        <v>0</v>
      </c>
      <c r="AH55" s="70">
        <f t="shared" si="17"/>
        <v>0</v>
      </c>
      <c r="AI55" s="70">
        <f t="shared" si="17"/>
        <v>0</v>
      </c>
      <c r="AJ55" s="70">
        <f t="shared" si="17"/>
        <v>0</v>
      </c>
      <c r="AK55" s="70">
        <f t="shared" si="17"/>
        <v>0</v>
      </c>
      <c r="AL55" s="70">
        <f t="shared" si="17"/>
        <v>0</v>
      </c>
      <c r="AM55" s="70">
        <f t="shared" si="17"/>
        <v>0</v>
      </c>
      <c r="AN55" s="70">
        <f t="shared" si="17"/>
        <v>0</v>
      </c>
      <c r="AO55" s="70">
        <f t="shared" si="17"/>
        <v>0</v>
      </c>
      <c r="AP55" s="70">
        <f t="shared" si="17"/>
        <v>0</v>
      </c>
      <c r="AQ55" s="70">
        <f t="shared" si="17"/>
        <v>0</v>
      </c>
      <c r="AR55" s="70">
        <f t="shared" si="17"/>
        <v>0</v>
      </c>
      <c r="AS55" s="70">
        <f t="shared" si="17"/>
        <v>0</v>
      </c>
      <c r="AT55" s="70">
        <f t="shared" si="17"/>
        <v>0</v>
      </c>
      <c r="AU55" s="70">
        <f t="shared" si="17"/>
        <v>0</v>
      </c>
      <c r="AV55" s="70">
        <f t="shared" si="17"/>
        <v>0</v>
      </c>
      <c r="AW55" s="70">
        <f t="shared" si="17"/>
        <v>0</v>
      </c>
    </row>
    <row r="56" spans="1:49" ht="15.75" customHeight="1" x14ac:dyDescent="0.2">
      <c r="A56" t="s">
        <v>46</v>
      </c>
      <c r="B56" s="70">
        <f>B55</f>
        <v>0</v>
      </c>
      <c r="C56" s="70">
        <f>AVERAGE(B55:C55)</f>
        <v>0</v>
      </c>
      <c r="D56" s="70">
        <f t="shared" ref="D56:AW56" si="18">AVERAGE(B55:D55)</f>
        <v>0</v>
      </c>
      <c r="E56" s="70">
        <f t="shared" si="18"/>
        <v>0</v>
      </c>
      <c r="F56" s="70">
        <f t="shared" si="18"/>
        <v>0</v>
      </c>
      <c r="G56" s="70">
        <f t="shared" si="18"/>
        <v>0</v>
      </c>
      <c r="H56" s="70">
        <f t="shared" si="18"/>
        <v>0</v>
      </c>
      <c r="I56" s="70">
        <f t="shared" si="18"/>
        <v>0</v>
      </c>
      <c r="J56" s="70">
        <f t="shared" si="18"/>
        <v>0</v>
      </c>
      <c r="K56" s="70">
        <f t="shared" si="18"/>
        <v>0</v>
      </c>
      <c r="L56" s="70">
        <f t="shared" si="18"/>
        <v>0</v>
      </c>
      <c r="M56" s="70">
        <f t="shared" si="18"/>
        <v>0</v>
      </c>
      <c r="N56" s="70">
        <f t="shared" si="18"/>
        <v>0</v>
      </c>
      <c r="O56" s="70">
        <f t="shared" si="18"/>
        <v>0</v>
      </c>
      <c r="P56" s="70">
        <f t="shared" si="18"/>
        <v>0</v>
      </c>
      <c r="Q56" s="70">
        <f t="shared" si="18"/>
        <v>0</v>
      </c>
      <c r="R56" s="70">
        <f t="shared" si="18"/>
        <v>0</v>
      </c>
      <c r="S56" s="70">
        <f t="shared" si="18"/>
        <v>0</v>
      </c>
      <c r="T56" s="70">
        <f t="shared" si="18"/>
        <v>0</v>
      </c>
      <c r="U56" s="70">
        <f t="shared" si="18"/>
        <v>0</v>
      </c>
      <c r="V56" s="70">
        <f t="shared" si="18"/>
        <v>0</v>
      </c>
      <c r="W56" s="70">
        <f t="shared" si="18"/>
        <v>0</v>
      </c>
      <c r="X56" s="70">
        <f t="shared" si="18"/>
        <v>0</v>
      </c>
      <c r="Y56" s="70">
        <f t="shared" si="18"/>
        <v>0</v>
      </c>
      <c r="Z56" s="70">
        <f t="shared" si="18"/>
        <v>0</v>
      </c>
      <c r="AA56" s="70">
        <f t="shared" si="18"/>
        <v>0</v>
      </c>
      <c r="AB56" s="70">
        <f t="shared" si="18"/>
        <v>0</v>
      </c>
      <c r="AC56" s="70">
        <f t="shared" si="18"/>
        <v>0</v>
      </c>
      <c r="AD56" s="70">
        <f t="shared" si="18"/>
        <v>0</v>
      </c>
      <c r="AE56" s="70">
        <f t="shared" si="18"/>
        <v>0</v>
      </c>
      <c r="AF56" s="70">
        <f t="shared" si="18"/>
        <v>0</v>
      </c>
      <c r="AG56" s="70">
        <f t="shared" si="18"/>
        <v>0</v>
      </c>
      <c r="AH56" s="70">
        <f t="shared" si="18"/>
        <v>0</v>
      </c>
      <c r="AI56" s="70">
        <f t="shared" si="18"/>
        <v>0</v>
      </c>
      <c r="AJ56" s="70">
        <f t="shared" si="18"/>
        <v>0</v>
      </c>
      <c r="AK56" s="70">
        <f t="shared" si="18"/>
        <v>0</v>
      </c>
      <c r="AL56" s="70">
        <f t="shared" si="18"/>
        <v>0</v>
      </c>
      <c r="AM56" s="70">
        <f t="shared" si="18"/>
        <v>0</v>
      </c>
      <c r="AN56" s="70">
        <f t="shared" si="18"/>
        <v>0</v>
      </c>
      <c r="AO56" s="70">
        <f t="shared" si="18"/>
        <v>0</v>
      </c>
      <c r="AP56" s="70">
        <f t="shared" si="18"/>
        <v>0</v>
      </c>
      <c r="AQ56" s="70">
        <f t="shared" si="18"/>
        <v>0</v>
      </c>
      <c r="AR56" s="70">
        <f t="shared" si="18"/>
        <v>0</v>
      </c>
      <c r="AS56" s="70">
        <f t="shared" si="18"/>
        <v>0</v>
      </c>
      <c r="AT56" s="70">
        <f t="shared" si="18"/>
        <v>0</v>
      </c>
      <c r="AU56" s="70">
        <f t="shared" si="18"/>
        <v>0</v>
      </c>
      <c r="AV56" s="70">
        <f t="shared" si="18"/>
        <v>0</v>
      </c>
      <c r="AW56" s="70">
        <f t="shared" si="18"/>
        <v>0</v>
      </c>
    </row>
    <row r="57" spans="1:49" ht="15.75" customHeight="1" x14ac:dyDescent="0.2">
      <c r="A57" t="s">
        <v>52</v>
      </c>
      <c r="B57" s="70">
        <f>B55</f>
        <v>0</v>
      </c>
      <c r="C57" s="70">
        <f>AVERAGE(B55:C55)</f>
        <v>0</v>
      </c>
      <c r="D57" s="70">
        <f>AVERAGE(B55:D55)</f>
        <v>0</v>
      </c>
      <c r="E57" s="70">
        <f>AVERAGE(B55:E55)</f>
        <v>0</v>
      </c>
      <c r="F57" s="70">
        <f>AVERAGE(B55:F55)</f>
        <v>0</v>
      </c>
      <c r="G57" s="70">
        <f t="shared" ref="G57:AW57" si="19">AVERAGE(B55:G55)</f>
        <v>0</v>
      </c>
      <c r="H57" s="70">
        <f t="shared" si="19"/>
        <v>0</v>
      </c>
      <c r="I57" s="70">
        <f t="shared" si="19"/>
        <v>0</v>
      </c>
      <c r="J57" s="70">
        <f t="shared" si="19"/>
        <v>0</v>
      </c>
      <c r="K57" s="70">
        <f t="shared" si="19"/>
        <v>0</v>
      </c>
      <c r="L57" s="70">
        <f t="shared" si="19"/>
        <v>0</v>
      </c>
      <c r="M57" s="70">
        <f t="shared" si="19"/>
        <v>0</v>
      </c>
      <c r="N57" s="70">
        <f t="shared" si="19"/>
        <v>0</v>
      </c>
      <c r="O57" s="70">
        <f t="shared" si="19"/>
        <v>0</v>
      </c>
      <c r="P57" s="70">
        <f t="shared" si="19"/>
        <v>0</v>
      </c>
      <c r="Q57" s="70">
        <f t="shared" si="19"/>
        <v>0</v>
      </c>
      <c r="R57" s="70">
        <f t="shared" si="19"/>
        <v>0</v>
      </c>
      <c r="S57" s="70">
        <f t="shared" si="19"/>
        <v>0</v>
      </c>
      <c r="T57" s="70">
        <f t="shared" si="19"/>
        <v>0</v>
      </c>
      <c r="U57" s="70">
        <f t="shared" si="19"/>
        <v>0</v>
      </c>
      <c r="V57" s="70">
        <f t="shared" si="19"/>
        <v>0</v>
      </c>
      <c r="W57" s="70">
        <f t="shared" si="19"/>
        <v>0</v>
      </c>
      <c r="X57" s="70">
        <f t="shared" si="19"/>
        <v>0</v>
      </c>
      <c r="Y57" s="70">
        <f t="shared" si="19"/>
        <v>0</v>
      </c>
      <c r="Z57" s="70">
        <f t="shared" si="19"/>
        <v>0</v>
      </c>
      <c r="AA57" s="70">
        <f t="shared" si="19"/>
        <v>0</v>
      </c>
      <c r="AB57" s="70">
        <f t="shared" si="19"/>
        <v>0</v>
      </c>
      <c r="AC57" s="70">
        <f t="shared" si="19"/>
        <v>0</v>
      </c>
      <c r="AD57" s="70">
        <f t="shared" si="19"/>
        <v>0</v>
      </c>
      <c r="AE57" s="70">
        <f t="shared" si="19"/>
        <v>0</v>
      </c>
      <c r="AF57" s="70">
        <f t="shared" si="19"/>
        <v>0</v>
      </c>
      <c r="AG57" s="70">
        <f t="shared" si="19"/>
        <v>0</v>
      </c>
      <c r="AH57" s="70">
        <f t="shared" si="19"/>
        <v>0</v>
      </c>
      <c r="AI57" s="70">
        <f t="shared" si="19"/>
        <v>0</v>
      </c>
      <c r="AJ57" s="70">
        <f t="shared" si="19"/>
        <v>0</v>
      </c>
      <c r="AK57" s="70">
        <f t="shared" si="19"/>
        <v>0</v>
      </c>
      <c r="AL57" s="70">
        <f t="shared" si="19"/>
        <v>0</v>
      </c>
      <c r="AM57" s="70">
        <f t="shared" si="19"/>
        <v>0</v>
      </c>
      <c r="AN57" s="70">
        <f t="shared" si="19"/>
        <v>0</v>
      </c>
      <c r="AO57" s="70">
        <f t="shared" si="19"/>
        <v>0</v>
      </c>
      <c r="AP57" s="70">
        <f t="shared" si="19"/>
        <v>0</v>
      </c>
      <c r="AQ57" s="70">
        <f t="shared" si="19"/>
        <v>0</v>
      </c>
      <c r="AR57" s="70">
        <f t="shared" si="19"/>
        <v>0</v>
      </c>
      <c r="AS57" s="70">
        <f t="shared" si="19"/>
        <v>0</v>
      </c>
      <c r="AT57" s="70">
        <f t="shared" si="19"/>
        <v>0</v>
      </c>
      <c r="AU57" s="70">
        <f t="shared" si="19"/>
        <v>0</v>
      </c>
      <c r="AV57" s="70">
        <f t="shared" si="19"/>
        <v>0</v>
      </c>
      <c r="AW57" s="70">
        <f t="shared" si="19"/>
        <v>0</v>
      </c>
    </row>
    <row r="58" spans="1:49" ht="15.75" customHeight="1" x14ac:dyDescent="0.2">
      <c r="A58" t="s">
        <v>57</v>
      </c>
      <c r="B58" s="70">
        <f t="shared" ref="B58:G58" si="20">B55</f>
        <v>0</v>
      </c>
      <c r="C58" s="70">
        <f t="shared" si="20"/>
        <v>0</v>
      </c>
      <c r="D58" s="70">
        <f t="shared" si="20"/>
        <v>0</v>
      </c>
      <c r="E58" s="70">
        <f t="shared" si="20"/>
        <v>0</v>
      </c>
      <c r="F58" s="70">
        <f t="shared" si="20"/>
        <v>0</v>
      </c>
      <c r="G58" s="70">
        <f t="shared" si="20"/>
        <v>0</v>
      </c>
      <c r="H58" s="70">
        <f>AVERAGE(B55:H55)</f>
        <v>0</v>
      </c>
      <c r="I58" s="70">
        <f>AVERAGE(B55:I55)</f>
        <v>0</v>
      </c>
      <c r="J58" s="70">
        <f>AVERAGE(B55:J55)</f>
        <v>0</v>
      </c>
      <c r="K58" s="70">
        <f>AVERAGE(B55:K55)</f>
        <v>0</v>
      </c>
      <c r="L58" s="70">
        <f>AVERAGE(B55:L55)</f>
        <v>0</v>
      </c>
      <c r="M58" s="70">
        <f t="shared" ref="M58:AW58" si="21">AVERAGE(B55:M55)</f>
        <v>0</v>
      </c>
      <c r="N58" s="70">
        <f t="shared" si="21"/>
        <v>0</v>
      </c>
      <c r="O58" s="70">
        <f t="shared" si="21"/>
        <v>0</v>
      </c>
      <c r="P58" s="70">
        <f t="shared" si="21"/>
        <v>0</v>
      </c>
      <c r="Q58" s="70">
        <f t="shared" si="21"/>
        <v>0</v>
      </c>
      <c r="R58" s="70">
        <f t="shared" si="21"/>
        <v>0</v>
      </c>
      <c r="S58" s="70">
        <f t="shared" si="21"/>
        <v>0</v>
      </c>
      <c r="T58" s="70">
        <f t="shared" si="21"/>
        <v>0</v>
      </c>
      <c r="U58" s="70">
        <f t="shared" si="21"/>
        <v>0</v>
      </c>
      <c r="V58" s="70">
        <f t="shared" si="21"/>
        <v>0</v>
      </c>
      <c r="W58" s="70">
        <f t="shared" si="21"/>
        <v>0</v>
      </c>
      <c r="X58" s="70">
        <f t="shared" si="21"/>
        <v>0</v>
      </c>
      <c r="Y58" s="70">
        <f t="shared" si="21"/>
        <v>0</v>
      </c>
      <c r="Z58" s="70">
        <f t="shared" si="21"/>
        <v>0</v>
      </c>
      <c r="AA58" s="70">
        <f t="shared" si="21"/>
        <v>0</v>
      </c>
      <c r="AB58" s="70">
        <f t="shared" si="21"/>
        <v>0</v>
      </c>
      <c r="AC58" s="70">
        <f t="shared" si="21"/>
        <v>0</v>
      </c>
      <c r="AD58" s="70">
        <f t="shared" si="21"/>
        <v>0</v>
      </c>
      <c r="AE58" s="70">
        <f t="shared" si="21"/>
        <v>0</v>
      </c>
      <c r="AF58" s="70">
        <f t="shared" si="21"/>
        <v>0</v>
      </c>
      <c r="AG58" s="70">
        <f t="shared" si="21"/>
        <v>0</v>
      </c>
      <c r="AH58" s="70">
        <f t="shared" si="21"/>
        <v>0</v>
      </c>
      <c r="AI58" s="70">
        <f t="shared" si="21"/>
        <v>0</v>
      </c>
      <c r="AJ58" s="70">
        <f t="shared" si="21"/>
        <v>0</v>
      </c>
      <c r="AK58" s="70">
        <f t="shared" si="21"/>
        <v>0</v>
      </c>
      <c r="AL58" s="70">
        <f t="shared" si="21"/>
        <v>0</v>
      </c>
      <c r="AM58" s="70">
        <f t="shared" si="21"/>
        <v>0</v>
      </c>
      <c r="AN58" s="70">
        <f t="shared" si="21"/>
        <v>0</v>
      </c>
      <c r="AO58" s="70">
        <f t="shared" si="21"/>
        <v>0</v>
      </c>
      <c r="AP58" s="70">
        <f t="shared" si="21"/>
        <v>0</v>
      </c>
      <c r="AQ58" s="70">
        <f t="shared" si="21"/>
        <v>0</v>
      </c>
      <c r="AR58" s="70">
        <f t="shared" si="21"/>
        <v>0</v>
      </c>
      <c r="AS58" s="70">
        <f t="shared" si="21"/>
        <v>0</v>
      </c>
      <c r="AT58" s="70">
        <f t="shared" si="21"/>
        <v>0</v>
      </c>
      <c r="AU58" s="70">
        <f t="shared" si="21"/>
        <v>0</v>
      </c>
      <c r="AV58" s="70">
        <f t="shared" si="21"/>
        <v>0</v>
      </c>
      <c r="AW58" s="70">
        <f t="shared" si="21"/>
        <v>0</v>
      </c>
    </row>
    <row r="59" spans="1:49" ht="15.75" customHeight="1" x14ac:dyDescent="0.2"/>
    <row r="60" spans="1:49" ht="15.75" customHeight="1" x14ac:dyDescent="0.2"/>
    <row r="61" spans="1:49" ht="15.75" customHeight="1" x14ac:dyDescent="0.2"/>
    <row r="62" spans="1:49" ht="15.75" customHeight="1" x14ac:dyDescent="0.2"/>
    <row r="63" spans="1:49" ht="15.75" customHeight="1" x14ac:dyDescent="0.2"/>
    <row r="64" spans="1:49"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ustomSheetViews>
    <customSheetView guid="{1388908F-E280-44E8-A47C-CEFCEE72ABB0}" filter="1" showAutoFilter="1">
      <pageMargins left="0.511811024" right="0.511811024" top="0.78740157499999996" bottom="0.78740157499999996" header="0.31496062000000002" footer="0.31496062000000002"/>
      <autoFilter ref="A2:F20" xr:uid="{09A43813-C947-0747-A64C-147B80C058F9}"/>
    </customSheetView>
    <customSheetView guid="{A11FAE4A-97D1-4D52-AEE6-336F63F0F8DC}" filter="1" showAutoFilter="1">
      <pageMargins left="0.511811024" right="0.511811024" top="0.78740157499999996" bottom="0.78740157499999996" header="0.31496062000000002" footer="0.31496062000000002"/>
      <autoFilter ref="A2:AW58" xr:uid="{9706D29B-CEB4-864F-B26E-21CF12C8C114}"/>
    </customSheetView>
  </customSheetViews>
  <pageMargins left="0.511811024" right="0.511811024" top="0.78740157499999996" bottom="0.78740157499999996" header="0" footer="0"/>
  <pageSetup orientation="landscape"/>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ns0:Properties xmlns:ns0="http://schemas.openxmlformats.org/officeDocument/2006/extended-properties" xmlns:ns1="http://schemas.openxmlformats.org/officeDocument/2006/docPropsVTypes">
  <ns0:Application>Microsoft Macintosh Excel</ns0:Application>
  <ns0:DocSecurity>0</ns0:DocSecurity>
  <ns0:ScaleCrop>false</ns0:ScaleCrop>
  <ns0:HeadingPairs>
    <ns1:vector size="2" baseType="variant">
      <ns1:variant>
        <ns1:lpstr>Planilhas</ns1:lpstr>
      </ns1:variant>
      <ns1:variant>
        <ns1:i4>3</ns1:i4>
      </ns1:variant>
    </ns1:vector>
  </ns0:HeadingPairs>
  <ns0:TitlesOfParts>
    <ns1:vector size="3" baseType="lpstr">
      <ns1:lpstr>DRE </ns1:lpstr>
      <ns1:lpstr>Dashboard Análise</ns1:lpstr>
      <ns1:lpstr>Base de dados</ns1:lpstr>
    </ns1:vector>
  </ns0:TitlesOfParts>
  <ns0:LinksUpToDate>false</ns0:LinksUpToDate>
  <ns0:SharedDoc>false</ns0:SharedDoc>
  <ns0:HyperlinksChanged>false</ns0:HyperlinksChanged>
  <ns0:AppVersion>16.0300</ns0:AppVersion>
</ns0:Properties>
</file>

<file path=docProps/core.xml><?xml version="1.0" encoding="utf-8"?>
<ns0:coreProperties xmlns:ns0="http://schemas.openxmlformats.org/package/2006/metadata/core-properties" xmlns:ns1="http://purl.org/dc/terms/" xmlns:xsi="http://www.w3.org/2001/XMLSchema-instance">
  <ns0:lastModifiedBy/>
  <ns1:created xsi:type="dcterms:W3CDTF">2024-10-05T01:01:19Z</ns1:created>
  <ns1:modified xsi:type="dcterms:W3CDTF">2024-10-07T11:08:42Z</ns1:modified>
</ns0:coreProperties>
</file>