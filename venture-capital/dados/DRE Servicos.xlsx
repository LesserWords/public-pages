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iogotakayama/Documents/SD/SEBRAE/Startups/Cianorte/Incubacao/"/>
    </mc:Choice>
  </mc:AlternateContent>
  <xr:revisionPtr revIDLastSave="0" documentId="13_ncr:1_{72B2998F-59C5-2A45-BB8E-8F8C79F48564}" xr6:coauthVersionLast="47" xr6:coauthVersionMax="47" xr10:uidLastSave="{00000000-0000-0000-0000-000000000000}"/>
  <bookViews>
    <workbookView xWindow="-19200" yWindow="1420" windowWidth="19200" windowHeight="21100" xr2:uid="{00000000-000D-0000-FFFF-FFFF00000000}"/>
  </bookViews>
  <sheets>
    <sheet name="DRE Serviços" sheetId="1" r:id="rId1"/>
    <sheet name="Planejamento Estratégico" sheetId="7" state="hidden" r:id="rId2"/>
    <sheet name="Fluxo de Caixa - FC" sheetId="8" state="hidden" r:id="rId3"/>
    <sheet name="TIR" sheetId="9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/0CXfuNNEVq2i9HlNNLx8AqREd6NDjKWC6fxUWxGo9M="/>
    </ext>
  </extLst>
</workbook>
</file>

<file path=xl/calcChain.xml><?xml version="1.0" encoding="utf-8"?>
<calcChain xmlns="http://schemas.openxmlformats.org/spreadsheetml/2006/main">
  <c r="D44" i="1" l="1"/>
  <c r="I55" i="9" l="1"/>
  <c r="H55" i="9"/>
  <c r="G55" i="9"/>
  <c r="F55" i="9"/>
  <c r="E55" i="9"/>
  <c r="D55" i="9"/>
  <c r="I51" i="9"/>
  <c r="H51" i="9"/>
  <c r="G51" i="9"/>
  <c r="F51" i="9"/>
  <c r="E51" i="9"/>
  <c r="D51" i="9"/>
  <c r="I43" i="9"/>
  <c r="H43" i="9"/>
  <c r="G43" i="9"/>
  <c r="F43" i="9"/>
  <c r="E43" i="9"/>
  <c r="D43" i="9"/>
  <c r="H37" i="9"/>
  <c r="E37" i="9"/>
  <c r="I29" i="9"/>
  <c r="H29" i="9"/>
  <c r="G29" i="9"/>
  <c r="F29" i="9"/>
  <c r="E29" i="9"/>
  <c r="D29" i="9"/>
  <c r="I23" i="9"/>
  <c r="H23" i="9"/>
  <c r="G23" i="9"/>
  <c r="F23" i="9"/>
  <c r="E23" i="9"/>
  <c r="D23" i="9"/>
  <c r="I21" i="9"/>
  <c r="G20" i="9"/>
  <c r="D20" i="9"/>
  <c r="I19" i="9"/>
  <c r="F19" i="9"/>
  <c r="E19" i="9"/>
  <c r="I15" i="9"/>
  <c r="H15" i="9"/>
  <c r="G15" i="9"/>
  <c r="G38" i="9" s="1"/>
  <c r="F15" i="9"/>
  <c r="E15" i="9"/>
  <c r="D15" i="9"/>
  <c r="D38" i="9" s="1"/>
  <c r="I51" i="8"/>
  <c r="H51" i="8"/>
  <c r="G51" i="8"/>
  <c r="F51" i="8"/>
  <c r="E51" i="8"/>
  <c r="D51" i="8"/>
  <c r="I47" i="8"/>
  <c r="H47" i="8"/>
  <c r="G47" i="8"/>
  <c r="F47" i="8"/>
  <c r="E47" i="8"/>
  <c r="D47" i="8"/>
  <c r="I39" i="8"/>
  <c r="H39" i="8"/>
  <c r="H38" i="8" s="1"/>
  <c r="G39" i="8"/>
  <c r="F39" i="8"/>
  <c r="E39" i="8"/>
  <c r="E38" i="8" s="1"/>
  <c r="D39" i="8"/>
  <c r="D38" i="8" s="1"/>
  <c r="I38" i="8"/>
  <c r="G38" i="8"/>
  <c r="F38" i="8"/>
  <c r="I33" i="8"/>
  <c r="H33" i="8"/>
  <c r="D33" i="8"/>
  <c r="E32" i="8"/>
  <c r="D32" i="8"/>
  <c r="D31" i="8" s="1"/>
  <c r="D30" i="8"/>
  <c r="I22" i="8"/>
  <c r="H22" i="8"/>
  <c r="G22" i="8"/>
  <c r="F22" i="8"/>
  <c r="E22" i="8"/>
  <c r="D22" i="8"/>
  <c r="I16" i="8"/>
  <c r="H16" i="8"/>
  <c r="G16" i="8"/>
  <c r="F16" i="8"/>
  <c r="E16" i="8"/>
  <c r="D16" i="8"/>
  <c r="I14" i="8"/>
  <c r="G14" i="8"/>
  <c r="I13" i="8"/>
  <c r="H13" i="8"/>
  <c r="E13" i="8"/>
  <c r="D13" i="8"/>
  <c r="F12" i="8"/>
  <c r="I6" i="8"/>
  <c r="H6" i="8"/>
  <c r="H32" i="8" s="1"/>
  <c r="H31" i="8" s="1"/>
  <c r="H30" i="8" s="1"/>
  <c r="G6" i="8"/>
  <c r="F6" i="8"/>
  <c r="E6" i="8"/>
  <c r="E12" i="8" s="1"/>
  <c r="D6" i="8"/>
  <c r="M127" i="7"/>
  <c r="L127" i="7"/>
  <c r="K127" i="7"/>
  <c r="J127" i="7"/>
  <c r="I127" i="7"/>
  <c r="H127" i="7"/>
  <c r="G127" i="7"/>
  <c r="F127" i="7"/>
  <c r="E127" i="7"/>
  <c r="D127" i="7"/>
  <c r="C127" i="7"/>
  <c r="B127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M96" i="7"/>
  <c r="L96" i="7"/>
  <c r="K96" i="7"/>
  <c r="J96" i="7"/>
  <c r="I96" i="7"/>
  <c r="H96" i="7"/>
  <c r="G96" i="7"/>
  <c r="F96" i="7"/>
  <c r="E96" i="7"/>
  <c r="D96" i="7"/>
  <c r="C96" i="7"/>
  <c r="B96" i="7"/>
  <c r="M92" i="7"/>
  <c r="L92" i="7"/>
  <c r="K92" i="7"/>
  <c r="J92" i="7"/>
  <c r="I92" i="7"/>
  <c r="H92" i="7"/>
  <c r="G92" i="7"/>
  <c r="F92" i="7"/>
  <c r="E92" i="7"/>
  <c r="D92" i="7"/>
  <c r="C92" i="7"/>
  <c r="B92" i="7"/>
  <c r="M87" i="7"/>
  <c r="L87" i="7"/>
  <c r="K87" i="7"/>
  <c r="J87" i="7"/>
  <c r="I87" i="7"/>
  <c r="H87" i="7"/>
  <c r="G87" i="7"/>
  <c r="F87" i="7"/>
  <c r="E87" i="7"/>
  <c r="D87" i="7"/>
  <c r="C87" i="7"/>
  <c r="B87" i="7"/>
  <c r="M83" i="7"/>
  <c r="L83" i="7"/>
  <c r="K83" i="7"/>
  <c r="J83" i="7"/>
  <c r="I83" i="7"/>
  <c r="H83" i="7"/>
  <c r="G83" i="7"/>
  <c r="F83" i="7"/>
  <c r="E83" i="7"/>
  <c r="D83" i="7"/>
  <c r="C83" i="7"/>
  <c r="B83" i="7"/>
  <c r="M78" i="7"/>
  <c r="L78" i="7"/>
  <c r="K78" i="7"/>
  <c r="J78" i="7"/>
  <c r="I78" i="7"/>
  <c r="H78" i="7"/>
  <c r="G78" i="7"/>
  <c r="F78" i="7"/>
  <c r="E78" i="7"/>
  <c r="D78" i="7"/>
  <c r="C78" i="7"/>
  <c r="B78" i="7"/>
  <c r="M74" i="7"/>
  <c r="L74" i="7"/>
  <c r="K74" i="7"/>
  <c r="J74" i="7"/>
  <c r="I74" i="7"/>
  <c r="H74" i="7"/>
  <c r="G74" i="7"/>
  <c r="F74" i="7"/>
  <c r="E74" i="7"/>
  <c r="D74" i="7"/>
  <c r="C74" i="7"/>
  <c r="B74" i="7"/>
  <c r="M69" i="7"/>
  <c r="L69" i="7"/>
  <c r="K69" i="7"/>
  <c r="J69" i="7"/>
  <c r="I69" i="7"/>
  <c r="H69" i="7"/>
  <c r="G69" i="7"/>
  <c r="F69" i="7"/>
  <c r="E69" i="7"/>
  <c r="D69" i="7"/>
  <c r="C69" i="7"/>
  <c r="B69" i="7"/>
  <c r="M65" i="7"/>
  <c r="L65" i="7"/>
  <c r="K65" i="7"/>
  <c r="J65" i="7"/>
  <c r="I65" i="7"/>
  <c r="H65" i="7"/>
  <c r="G65" i="7"/>
  <c r="F65" i="7"/>
  <c r="E65" i="7"/>
  <c r="D65" i="7"/>
  <c r="C65" i="7"/>
  <c r="B65" i="7"/>
  <c r="P56" i="7"/>
  <c r="Q55" i="7"/>
  <c r="P55" i="7"/>
  <c r="P54" i="7"/>
  <c r="Q51" i="7"/>
  <c r="Q53" i="7" s="1"/>
  <c r="Q50" i="7"/>
  <c r="P50" i="7"/>
  <c r="P51" i="7" s="1"/>
  <c r="P53" i="7" s="1"/>
  <c r="R45" i="7"/>
  <c r="S45" i="7" s="1"/>
  <c r="T45" i="7" s="1"/>
  <c r="U45" i="7" s="1"/>
  <c r="V45" i="7" s="1"/>
  <c r="W45" i="7" s="1"/>
  <c r="X45" i="7" s="1"/>
  <c r="Y45" i="7" s="1"/>
  <c r="Z45" i="7" s="1"/>
  <c r="AA45" i="7" s="1"/>
  <c r="Q45" i="7"/>
  <c r="Q44" i="7"/>
  <c r="P42" i="7"/>
  <c r="R41" i="7"/>
  <c r="S41" i="7" s="1"/>
  <c r="Q41" i="7"/>
  <c r="Q40" i="7"/>
  <c r="Q39" i="7"/>
  <c r="J29" i="7"/>
  <c r="K29" i="7" s="1"/>
  <c r="L29" i="7" s="1"/>
  <c r="M29" i="7" s="1"/>
  <c r="E29" i="7"/>
  <c r="F29" i="7" s="1"/>
  <c r="G29" i="7" s="1"/>
  <c r="H29" i="7" s="1"/>
  <c r="I29" i="7" s="1"/>
  <c r="D29" i="7"/>
  <c r="C29" i="7"/>
  <c r="C28" i="7"/>
  <c r="B27" i="7"/>
  <c r="B30" i="7" s="1"/>
  <c r="B38" i="7" s="1"/>
  <c r="B15" i="7"/>
  <c r="C15" i="7" s="1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D14" i="7"/>
  <c r="E14" i="7" s="1"/>
  <c r="F14" i="7" s="1"/>
  <c r="G14" i="7" s="1"/>
  <c r="H14" i="7" s="1"/>
  <c r="I14" i="7" s="1"/>
  <c r="J14" i="7" s="1"/>
  <c r="K14" i="7" s="1"/>
  <c r="L14" i="7" s="1"/>
  <c r="M14" i="7" s="1"/>
  <c r="C14" i="7"/>
  <c r="B11" i="7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F9" i="7"/>
  <c r="D9" i="7"/>
  <c r="E9" i="7" s="1"/>
  <c r="C9" i="7"/>
  <c r="C8" i="7"/>
  <c r="B8" i="7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D51" i="1"/>
  <c r="D47" i="1"/>
  <c r="D38" i="1"/>
  <c r="D35" i="1"/>
  <c r="D24" i="1"/>
  <c r="D23" i="1"/>
  <c r="D22" i="1"/>
  <c r="D10" i="1"/>
  <c r="D5" i="1"/>
  <c r="D15" i="1" s="1"/>
  <c r="B42" i="7" l="1"/>
  <c r="B45" i="7"/>
  <c r="B40" i="7"/>
  <c r="B44" i="7"/>
  <c r="B46" i="7"/>
  <c r="B41" i="7"/>
  <c r="G33" i="8"/>
  <c r="G32" i="8"/>
  <c r="G31" i="8" s="1"/>
  <c r="G30" i="8" s="1"/>
  <c r="B32" i="7"/>
  <c r="C27" i="7"/>
  <c r="C11" i="7"/>
  <c r="Q42" i="7"/>
  <c r="F11" i="8"/>
  <c r="F20" i="8" s="1"/>
  <c r="F27" i="8" s="1"/>
  <c r="H38" i="9"/>
  <c r="H36" i="9" s="1"/>
  <c r="H35" i="9" s="1"/>
  <c r="H20" i="9"/>
  <c r="H19" i="9"/>
  <c r="H18" i="9" s="1"/>
  <c r="H27" i="9" s="1"/>
  <c r="H32" i="9" s="1"/>
  <c r="H21" i="9"/>
  <c r="D8" i="7"/>
  <c r="R40" i="7"/>
  <c r="G12" i="8"/>
  <c r="G11" i="8" s="1"/>
  <c r="G20" i="8" s="1"/>
  <c r="G27" i="8" s="1"/>
  <c r="B16" i="7"/>
  <c r="P57" i="7"/>
  <c r="E18" i="9"/>
  <c r="E27" i="9" s="1"/>
  <c r="E32" i="9" s="1"/>
  <c r="D16" i="1"/>
  <c r="D14" i="1" s="1"/>
  <c r="D33" i="1"/>
  <c r="Q56" i="7"/>
  <c r="Q54" i="7"/>
  <c r="F18" i="9"/>
  <c r="F27" i="9" s="1"/>
  <c r="F32" i="9" s="1"/>
  <c r="G13" i="8"/>
  <c r="D32" i="1"/>
  <c r="Q43" i="7"/>
  <c r="R39" i="7"/>
  <c r="E36" i="9"/>
  <c r="E35" i="9" s="1"/>
  <c r="R44" i="7"/>
  <c r="Q46" i="7"/>
  <c r="F33" i="8"/>
  <c r="F13" i="8"/>
  <c r="F14" i="8"/>
  <c r="F32" i="8"/>
  <c r="F31" i="8" s="1"/>
  <c r="F30" i="8" s="1"/>
  <c r="I32" i="8"/>
  <c r="I31" i="8" s="1"/>
  <c r="I30" i="8" s="1"/>
  <c r="I12" i="8"/>
  <c r="I11" i="8" s="1"/>
  <c r="I20" i="8" s="1"/>
  <c r="I27" i="8" s="1"/>
  <c r="E38" i="9"/>
  <c r="E21" i="9"/>
  <c r="E20" i="9"/>
  <c r="D21" i="1"/>
  <c r="G9" i="7"/>
  <c r="C30" i="7"/>
  <c r="D28" i="7"/>
  <c r="T41" i="7"/>
  <c r="F38" i="9"/>
  <c r="F20" i="9"/>
  <c r="F21" i="9"/>
  <c r="F37" i="9"/>
  <c r="D12" i="8"/>
  <c r="D14" i="8"/>
  <c r="E14" i="8"/>
  <c r="E11" i="8" s="1"/>
  <c r="E20" i="8" s="1"/>
  <c r="E27" i="8" s="1"/>
  <c r="E33" i="8"/>
  <c r="E31" i="8" s="1"/>
  <c r="E30" i="8" s="1"/>
  <c r="I18" i="9"/>
  <c r="I27" i="9" s="1"/>
  <c r="I32" i="9" s="1"/>
  <c r="I38" i="9"/>
  <c r="I20" i="9"/>
  <c r="I37" i="9"/>
  <c r="D19" i="9"/>
  <c r="D21" i="9"/>
  <c r="D37" i="9"/>
  <c r="D36" i="9" s="1"/>
  <c r="D35" i="9" s="1"/>
  <c r="G19" i="9"/>
  <c r="G21" i="9"/>
  <c r="G37" i="9"/>
  <c r="G36" i="9" s="1"/>
  <c r="G35" i="9" s="1"/>
  <c r="H12" i="8"/>
  <c r="H11" i="8" s="1"/>
  <c r="H20" i="8" s="1"/>
  <c r="H27" i="8" s="1"/>
  <c r="H14" i="8"/>
  <c r="D19" i="1" l="1"/>
  <c r="D26" i="1" s="1"/>
  <c r="D27" i="1" s="1"/>
  <c r="H35" i="8"/>
  <c r="H28" i="8"/>
  <c r="F28" i="8"/>
  <c r="F35" i="8"/>
  <c r="F33" i="9"/>
  <c r="H33" i="9"/>
  <c r="H40" i="9"/>
  <c r="E28" i="8"/>
  <c r="E35" i="8"/>
  <c r="E33" i="9"/>
  <c r="E40" i="9"/>
  <c r="G28" i="8"/>
  <c r="G35" i="8"/>
  <c r="I33" i="9"/>
  <c r="R46" i="7"/>
  <c r="S44" i="7"/>
  <c r="B39" i="7"/>
  <c r="B49" i="7"/>
  <c r="C49" i="7" s="1"/>
  <c r="D49" i="7" s="1"/>
  <c r="E49" i="7" s="1"/>
  <c r="F49" i="7" s="1"/>
  <c r="G49" i="7" s="1"/>
  <c r="H49" i="7" s="1"/>
  <c r="I49" i="7" s="1"/>
  <c r="J49" i="7" s="1"/>
  <c r="K49" i="7" s="1"/>
  <c r="L49" i="7" s="1"/>
  <c r="M49" i="7" s="1"/>
  <c r="P58" i="7"/>
  <c r="P59" i="7" s="1"/>
  <c r="C16" i="7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B17" i="7"/>
  <c r="G18" i="9"/>
  <c r="G27" i="9" s="1"/>
  <c r="G32" i="9" s="1"/>
  <c r="D11" i="8"/>
  <c r="D20" i="8" s="1"/>
  <c r="D27" i="8" s="1"/>
  <c r="H9" i="7"/>
  <c r="Q57" i="7"/>
  <c r="S39" i="7"/>
  <c r="R43" i="7"/>
  <c r="S40" i="7"/>
  <c r="R42" i="7"/>
  <c r="C38" i="7"/>
  <c r="C42" i="7" s="1"/>
  <c r="C32" i="7"/>
  <c r="D18" i="9"/>
  <c r="D27" i="9" s="1"/>
  <c r="D32" i="9" s="1"/>
  <c r="F36" i="9"/>
  <c r="F35" i="9" s="1"/>
  <c r="D31" i="1"/>
  <c r="D29" i="1" s="1"/>
  <c r="I36" i="9"/>
  <c r="I35" i="9" s="1"/>
  <c r="B43" i="7"/>
  <c r="U41" i="7"/>
  <c r="E28" i="7"/>
  <c r="I35" i="8"/>
  <c r="I28" i="8"/>
  <c r="E8" i="7"/>
  <c r="D27" i="7"/>
  <c r="D30" i="7" s="1"/>
  <c r="D11" i="7"/>
  <c r="Q58" i="7" l="1"/>
  <c r="Q59" i="7" s="1"/>
  <c r="B50" i="7"/>
  <c r="C50" i="7" s="1"/>
  <c r="D50" i="7" s="1"/>
  <c r="E50" i="7" s="1"/>
  <c r="F50" i="7" s="1"/>
  <c r="G50" i="7" s="1"/>
  <c r="H50" i="7" s="1"/>
  <c r="I50" i="7" s="1"/>
  <c r="J50" i="7" s="1"/>
  <c r="K50" i="7" s="1"/>
  <c r="L50" i="7" s="1"/>
  <c r="M50" i="7" s="1"/>
  <c r="C17" i="7"/>
  <c r="D17" i="7" s="1"/>
  <c r="E17" i="7" s="1"/>
  <c r="F17" i="7" s="1"/>
  <c r="G17" i="7" s="1"/>
  <c r="H17" i="7" s="1"/>
  <c r="I17" i="7" s="1"/>
  <c r="J17" i="7" s="1"/>
  <c r="K17" i="7" s="1"/>
  <c r="L17" i="7" s="1"/>
  <c r="M17" i="7" s="1"/>
  <c r="B18" i="7"/>
  <c r="T44" i="7"/>
  <c r="S46" i="7"/>
  <c r="I36" i="8"/>
  <c r="I44" i="8"/>
  <c r="S43" i="7"/>
  <c r="T39" i="7"/>
  <c r="H48" i="9"/>
  <c r="H41" i="9"/>
  <c r="H44" i="8"/>
  <c r="H36" i="8"/>
  <c r="V41" i="7"/>
  <c r="P60" i="7"/>
  <c r="P61" i="7"/>
  <c r="P62" i="7" s="1"/>
  <c r="I9" i="7"/>
  <c r="F40" i="9"/>
  <c r="D38" i="7"/>
  <c r="D32" i="7"/>
  <c r="D40" i="9"/>
  <c r="D33" i="9"/>
  <c r="D28" i="8"/>
  <c r="D35" i="8"/>
  <c r="G36" i="8"/>
  <c r="G44" i="8"/>
  <c r="C44" i="7"/>
  <c r="C46" i="7"/>
  <c r="C45" i="7"/>
  <c r="C41" i="7"/>
  <c r="C55" i="7" s="1"/>
  <c r="C40" i="7"/>
  <c r="E48" i="9"/>
  <c r="E41" i="9"/>
  <c r="F36" i="8"/>
  <c r="F44" i="8"/>
  <c r="E30" i="7"/>
  <c r="F28" i="7"/>
  <c r="F8" i="7"/>
  <c r="E11" i="7"/>
  <c r="E27" i="7"/>
  <c r="S42" i="7"/>
  <c r="T40" i="7"/>
  <c r="G40" i="9"/>
  <c r="G33" i="9"/>
  <c r="E44" i="8"/>
  <c r="E36" i="8"/>
  <c r="I40" i="9"/>
  <c r="D45" i="1" l="1"/>
  <c r="D55" i="1"/>
  <c r="E45" i="8"/>
  <c r="E55" i="8"/>
  <c r="I45" i="8"/>
  <c r="I55" i="8"/>
  <c r="B56" i="7"/>
  <c r="B55" i="7"/>
  <c r="B54" i="7"/>
  <c r="B53" i="7" s="1"/>
  <c r="F45" i="8"/>
  <c r="F55" i="8"/>
  <c r="W41" i="7"/>
  <c r="G48" i="9"/>
  <c r="G41" i="9"/>
  <c r="C43" i="7"/>
  <c r="D45" i="7"/>
  <c r="D44" i="7"/>
  <c r="D41" i="7"/>
  <c r="D55" i="7" s="1"/>
  <c r="D46" i="7"/>
  <c r="D40" i="7"/>
  <c r="T42" i="7"/>
  <c r="U40" i="7"/>
  <c r="E59" i="9"/>
  <c r="E49" i="9"/>
  <c r="G55" i="8"/>
  <c r="G45" i="8"/>
  <c r="F48" i="9"/>
  <c r="F41" i="9"/>
  <c r="T46" i="7"/>
  <c r="U44" i="7"/>
  <c r="B19" i="7"/>
  <c r="C18" i="7"/>
  <c r="D18" i="7" s="1"/>
  <c r="E18" i="7" s="1"/>
  <c r="F18" i="7" s="1"/>
  <c r="G18" i="7" s="1"/>
  <c r="H18" i="7" s="1"/>
  <c r="I18" i="7" s="1"/>
  <c r="J18" i="7" s="1"/>
  <c r="K18" i="7" s="1"/>
  <c r="L18" i="7" s="1"/>
  <c r="M18" i="7" s="1"/>
  <c r="E42" i="7"/>
  <c r="E56" i="7" s="1"/>
  <c r="D42" i="7"/>
  <c r="D56" i="7" s="1"/>
  <c r="D44" i="8"/>
  <c r="D36" i="8"/>
  <c r="J9" i="7"/>
  <c r="H55" i="8"/>
  <c r="H45" i="8"/>
  <c r="I48" i="9"/>
  <c r="I41" i="9"/>
  <c r="E32" i="7"/>
  <c r="E38" i="7"/>
  <c r="H59" i="9"/>
  <c r="H49" i="9"/>
  <c r="Q60" i="7"/>
  <c r="Q61" i="7"/>
  <c r="Q62" i="7" s="1"/>
  <c r="F27" i="7"/>
  <c r="G8" i="7"/>
  <c r="F11" i="7"/>
  <c r="T43" i="7"/>
  <c r="U39" i="7"/>
  <c r="F30" i="7"/>
  <c r="G28" i="7"/>
  <c r="C39" i="7"/>
  <c r="C54" i="7"/>
  <c r="D48" i="9"/>
  <c r="D41" i="9"/>
  <c r="C56" i="7"/>
  <c r="K9" i="7" l="1"/>
  <c r="D60" i="7"/>
  <c r="D43" i="7"/>
  <c r="D59" i="7" s="1"/>
  <c r="D58" i="1"/>
  <c r="D57" i="1" s="1"/>
  <c r="B61" i="7"/>
  <c r="B60" i="7"/>
  <c r="B59" i="7"/>
  <c r="B58" i="7" s="1"/>
  <c r="F59" i="9"/>
  <c r="F49" i="9"/>
  <c r="D61" i="7"/>
  <c r="C60" i="7"/>
  <c r="H62" i="9"/>
  <c r="H61" i="9" s="1"/>
  <c r="H64" i="9"/>
  <c r="D55" i="8"/>
  <c r="D45" i="8"/>
  <c r="C59" i="7"/>
  <c r="C58" i="7" s="1"/>
  <c r="I58" i="8"/>
  <c r="I57" i="8" s="1"/>
  <c r="I60" i="8" s="1"/>
  <c r="E62" i="9"/>
  <c r="E61" i="9" s="1"/>
  <c r="E64" i="9"/>
  <c r="E46" i="7"/>
  <c r="E45" i="7"/>
  <c r="E61" i="7" s="1"/>
  <c r="E44" i="7"/>
  <c r="E41" i="7"/>
  <c r="E55" i="7" s="1"/>
  <c r="E40" i="7"/>
  <c r="X41" i="7"/>
  <c r="C19" i="7"/>
  <c r="D19" i="7" s="1"/>
  <c r="E19" i="7" s="1"/>
  <c r="F19" i="7" s="1"/>
  <c r="G19" i="7" s="1"/>
  <c r="H19" i="7" s="1"/>
  <c r="I19" i="7" s="1"/>
  <c r="J19" i="7" s="1"/>
  <c r="K19" i="7" s="1"/>
  <c r="L19" i="7" s="1"/>
  <c r="M19" i="7" s="1"/>
  <c r="B20" i="7"/>
  <c r="C61" i="7"/>
  <c r="C53" i="7"/>
  <c r="F32" i="7"/>
  <c r="F38" i="7"/>
  <c r="F42" i="7" s="1"/>
  <c r="F56" i="7" s="1"/>
  <c r="I59" i="9"/>
  <c r="I49" i="9"/>
  <c r="D54" i="7"/>
  <c r="D53" i="7" s="1"/>
  <c r="D39" i="7"/>
  <c r="F60" i="8"/>
  <c r="F58" i="8"/>
  <c r="F57" i="8" s="1"/>
  <c r="H8" i="7"/>
  <c r="G27" i="7"/>
  <c r="G30" i="7" s="1"/>
  <c r="G11" i="7"/>
  <c r="V44" i="7"/>
  <c r="U46" i="7"/>
  <c r="G58" i="8"/>
  <c r="G57" i="8" s="1"/>
  <c r="G60" i="8" s="1"/>
  <c r="U43" i="7"/>
  <c r="V39" i="7"/>
  <c r="G59" i="9"/>
  <c r="G49" i="9"/>
  <c r="V40" i="7"/>
  <c r="U42" i="7"/>
  <c r="D59" i="9"/>
  <c r="D49" i="9"/>
  <c r="E58" i="8"/>
  <c r="E57" i="8" s="1"/>
  <c r="E60" i="8" s="1"/>
  <c r="H28" i="7"/>
  <c r="H58" i="8"/>
  <c r="H57" i="8" s="1"/>
  <c r="H60" i="8"/>
  <c r="D60" i="1" l="1"/>
  <c r="D61" i="1" s="1"/>
  <c r="I63" i="8"/>
  <c r="I61" i="8"/>
  <c r="G63" i="8"/>
  <c r="G61" i="8"/>
  <c r="E63" i="8"/>
  <c r="E64" i="8" s="1"/>
  <c r="E61" i="8"/>
  <c r="E65" i="9"/>
  <c r="E67" i="9"/>
  <c r="E68" i="9" s="1"/>
  <c r="F62" i="9"/>
  <c r="F61" i="9" s="1"/>
  <c r="F64" i="9"/>
  <c r="I62" i="9"/>
  <c r="I61" i="9" s="1"/>
  <c r="I64" i="9" s="1"/>
  <c r="D62" i="9"/>
  <c r="D61" i="9" s="1"/>
  <c r="D64" i="9" s="1"/>
  <c r="W40" i="7"/>
  <c r="V42" i="7"/>
  <c r="V46" i="7"/>
  <c r="W44" i="7"/>
  <c r="Y41" i="7"/>
  <c r="G32" i="7"/>
  <c r="G38" i="7"/>
  <c r="G42" i="7" s="1"/>
  <c r="G56" i="7" s="1"/>
  <c r="E54" i="7"/>
  <c r="E53" i="7" s="1"/>
  <c r="E39" i="7"/>
  <c r="D58" i="8"/>
  <c r="D57" i="8" s="1"/>
  <c r="D60" i="8" s="1"/>
  <c r="D58" i="7"/>
  <c r="H61" i="8"/>
  <c r="H63" i="8"/>
  <c r="G62" i="9"/>
  <c r="G61" i="9" s="1"/>
  <c r="G64" i="9" s="1"/>
  <c r="H27" i="7"/>
  <c r="I8" i="7"/>
  <c r="H11" i="7"/>
  <c r="E43" i="7"/>
  <c r="E59" i="7" s="1"/>
  <c r="E60" i="7"/>
  <c r="H65" i="9"/>
  <c r="H67" i="9"/>
  <c r="V43" i="7"/>
  <c r="W39" i="7"/>
  <c r="H30" i="7"/>
  <c r="I28" i="7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B21" i="7"/>
  <c r="F46" i="7"/>
  <c r="F45" i="7"/>
  <c r="F61" i="7" s="1"/>
  <c r="F44" i="7"/>
  <c r="F41" i="7"/>
  <c r="F55" i="7" s="1"/>
  <c r="F40" i="7"/>
  <c r="F63" i="8"/>
  <c r="F64" i="8" s="1"/>
  <c r="F61" i="8"/>
  <c r="L9" i="7"/>
  <c r="D65" i="9" l="1"/>
  <c r="D67" i="9"/>
  <c r="I67" i="9"/>
  <c r="I65" i="9"/>
  <c r="G65" i="9"/>
  <c r="G67" i="9"/>
  <c r="D63" i="8"/>
  <c r="D61" i="8"/>
  <c r="W43" i="7"/>
  <c r="X39" i="7"/>
  <c r="W46" i="7"/>
  <c r="X44" i="7"/>
  <c r="F65" i="9"/>
  <c r="F67" i="9"/>
  <c r="F68" i="9" s="1"/>
  <c r="E58" i="7"/>
  <c r="H32" i="7"/>
  <c r="H38" i="7"/>
  <c r="H42" i="7" s="1"/>
  <c r="H56" i="7" s="1"/>
  <c r="I27" i="7"/>
  <c r="I30" i="7" s="1"/>
  <c r="J8" i="7"/>
  <c r="I11" i="7"/>
  <c r="G64" i="8"/>
  <c r="H64" i="8" s="1"/>
  <c r="I64" i="8" s="1"/>
  <c r="F43" i="7"/>
  <c r="F59" i="7" s="1"/>
  <c r="F58" i="7" s="1"/>
  <c r="F60" i="7"/>
  <c r="J28" i="7"/>
  <c r="Z41" i="7"/>
  <c r="C21" i="7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B22" i="7"/>
  <c r="X40" i="7"/>
  <c r="W42" i="7"/>
  <c r="F54" i="7"/>
  <c r="F53" i="7" s="1"/>
  <c r="F39" i="7"/>
  <c r="G44" i="7"/>
  <c r="G45" i="7"/>
  <c r="G61" i="7" s="1"/>
  <c r="G46" i="7"/>
  <c r="G41" i="7"/>
  <c r="G55" i="7" s="1"/>
  <c r="G40" i="7"/>
  <c r="M9" i="7"/>
  <c r="C22" i="7" l="1"/>
  <c r="D22" i="7" s="1"/>
  <c r="E22" i="7" s="1"/>
  <c r="F22" i="7" s="1"/>
  <c r="G22" i="7" s="1"/>
  <c r="H22" i="7" s="1"/>
  <c r="I22" i="7" s="1"/>
  <c r="J22" i="7" s="1"/>
  <c r="K22" i="7" s="1"/>
  <c r="L22" i="7" s="1"/>
  <c r="M22" i="7" s="1"/>
  <c r="B23" i="7"/>
  <c r="J27" i="7"/>
  <c r="J30" i="7" s="1"/>
  <c r="K8" i="7"/>
  <c r="J11" i="7"/>
  <c r="X46" i="7"/>
  <c r="Y44" i="7"/>
  <c r="C11" i="9"/>
  <c r="C9" i="9" a="1"/>
  <c r="C9" i="9" s="1"/>
  <c r="G54" i="7"/>
  <c r="G53" i="7" s="1"/>
  <c r="G39" i="7"/>
  <c r="I32" i="7"/>
  <c r="I38" i="7"/>
  <c r="G60" i="7"/>
  <c r="G43" i="7"/>
  <c r="G59" i="7" s="1"/>
  <c r="AA41" i="7"/>
  <c r="H45" i="7"/>
  <c r="H61" i="7" s="1"/>
  <c r="H46" i="7"/>
  <c r="H44" i="7"/>
  <c r="H41" i="7"/>
  <c r="H55" i="7" s="1"/>
  <c r="H40" i="7"/>
  <c r="G68" i="9"/>
  <c r="H68" i="9" s="1"/>
  <c r="I68" i="9" s="1"/>
  <c r="Y39" i="7"/>
  <c r="X43" i="7"/>
  <c r="Y40" i="7"/>
  <c r="X42" i="7"/>
  <c r="K28" i="7"/>
  <c r="I46" i="7" l="1"/>
  <c r="I44" i="7"/>
  <c r="I45" i="7"/>
  <c r="I61" i="7" s="1"/>
  <c r="I41" i="7"/>
  <c r="I55" i="7" s="1"/>
  <c r="I40" i="7"/>
  <c r="C23" i="7"/>
  <c r="D23" i="7" s="1"/>
  <c r="E23" i="7" s="1"/>
  <c r="F23" i="7" s="1"/>
  <c r="G23" i="7" s="1"/>
  <c r="H23" i="7" s="1"/>
  <c r="I23" i="7" s="1"/>
  <c r="J23" i="7" s="1"/>
  <c r="K23" i="7" s="1"/>
  <c r="L23" i="7" s="1"/>
  <c r="M23" i="7" s="1"/>
  <c r="B24" i="7"/>
  <c r="K30" i="7"/>
  <c r="L28" i="7"/>
  <c r="Y42" i="7"/>
  <c r="Z40" i="7"/>
  <c r="G58" i="7"/>
  <c r="Z44" i="7"/>
  <c r="Y46" i="7"/>
  <c r="Z39" i="7"/>
  <c r="Y43" i="7"/>
  <c r="J32" i="7"/>
  <c r="J38" i="7"/>
  <c r="H54" i="7"/>
  <c r="H53" i="7" s="1"/>
  <c r="H39" i="7"/>
  <c r="L8" i="7"/>
  <c r="K27" i="7"/>
  <c r="K11" i="7"/>
  <c r="H43" i="7"/>
  <c r="H59" i="7" s="1"/>
  <c r="H60" i="7"/>
  <c r="I42" i="7"/>
  <c r="I56" i="7" s="1"/>
  <c r="J44" i="7" l="1"/>
  <c r="J46" i="7"/>
  <c r="J45" i="7"/>
  <c r="J61" i="7" s="1"/>
  <c r="J41" i="7"/>
  <c r="J55" i="7" s="1"/>
  <c r="J40" i="7"/>
  <c r="J42" i="7"/>
  <c r="J56" i="7" s="1"/>
  <c r="M28" i="7"/>
  <c r="L30" i="7"/>
  <c r="AA39" i="7"/>
  <c r="AA43" i="7" s="1"/>
  <c r="Z43" i="7"/>
  <c r="I54" i="7"/>
  <c r="I53" i="7" s="1"/>
  <c r="I39" i="7"/>
  <c r="K38" i="7"/>
  <c r="K42" i="7" s="1"/>
  <c r="K56" i="7" s="1"/>
  <c r="K32" i="7"/>
  <c r="AA40" i="7"/>
  <c r="Z42" i="7"/>
  <c r="L27" i="7"/>
  <c r="M8" i="7"/>
  <c r="L11" i="7"/>
  <c r="I43" i="7"/>
  <c r="I59" i="7" s="1"/>
  <c r="I60" i="7"/>
  <c r="B25" i="7"/>
  <c r="C25" i="7" s="1"/>
  <c r="D25" i="7" s="1"/>
  <c r="E25" i="7" s="1"/>
  <c r="F25" i="7" s="1"/>
  <c r="G25" i="7" s="1"/>
  <c r="H25" i="7" s="1"/>
  <c r="I25" i="7" s="1"/>
  <c r="J25" i="7" s="1"/>
  <c r="K25" i="7" s="1"/>
  <c r="L25" i="7" s="1"/>
  <c r="M25" i="7" s="1"/>
  <c r="C24" i="7"/>
  <c r="D24" i="7" s="1"/>
  <c r="E24" i="7" s="1"/>
  <c r="F24" i="7" s="1"/>
  <c r="G24" i="7" s="1"/>
  <c r="H24" i="7" s="1"/>
  <c r="I24" i="7" s="1"/>
  <c r="J24" i="7" s="1"/>
  <c r="K24" i="7" s="1"/>
  <c r="L24" i="7" s="1"/>
  <c r="M24" i="7" s="1"/>
  <c r="H58" i="7"/>
  <c r="Z46" i="7"/>
  <c r="AA44" i="7"/>
  <c r="AA46" i="7" s="1"/>
  <c r="I58" i="7" l="1"/>
  <c r="L32" i="7"/>
  <c r="L38" i="7"/>
  <c r="M27" i="7"/>
  <c r="M11" i="7"/>
  <c r="M30" i="7"/>
  <c r="L42" i="7"/>
  <c r="L56" i="7" s="1"/>
  <c r="J39" i="7"/>
  <c r="J54" i="7"/>
  <c r="J53" i="7" s="1"/>
  <c r="AA42" i="7"/>
  <c r="K46" i="7"/>
  <c r="K44" i="7"/>
  <c r="K45" i="7"/>
  <c r="K61" i="7" s="1"/>
  <c r="K41" i="7"/>
  <c r="K55" i="7" s="1"/>
  <c r="K40" i="7"/>
  <c r="J60" i="7"/>
  <c r="J43" i="7"/>
  <c r="J59" i="7" s="1"/>
  <c r="J58" i="7" s="1"/>
  <c r="K39" i="7" l="1"/>
  <c r="K54" i="7"/>
  <c r="K53" i="7" s="1"/>
  <c r="K60" i="7"/>
  <c r="K43" i="7"/>
  <c r="K59" i="7" s="1"/>
  <c r="K58" i="7" s="1"/>
  <c r="M38" i="7"/>
  <c r="M42" i="7" s="1"/>
  <c r="M56" i="7" s="1"/>
  <c r="M32" i="7"/>
  <c r="L46" i="7"/>
  <c r="L45" i="7"/>
  <c r="L61" i="7" s="1"/>
  <c r="L44" i="7"/>
  <c r="L41" i="7"/>
  <c r="L55" i="7" s="1"/>
  <c r="L40" i="7"/>
  <c r="L54" i="7" l="1"/>
  <c r="L53" i="7" s="1"/>
  <c r="L39" i="7"/>
  <c r="L60" i="7"/>
  <c r="L43" i="7"/>
  <c r="L59" i="7" s="1"/>
  <c r="L58" i="7" s="1"/>
  <c r="M44" i="7"/>
  <c r="M46" i="7"/>
  <c r="M45" i="7"/>
  <c r="M61" i="7" s="1"/>
  <c r="M41" i="7"/>
  <c r="M55" i="7" s="1"/>
  <c r="M40" i="7"/>
  <c r="M39" i="7" l="1"/>
  <c r="M54" i="7"/>
  <c r="M53" i="7" s="1"/>
  <c r="M60" i="7"/>
  <c r="M43" i="7"/>
  <c r="M59" i="7" s="1"/>
  <c r="M58" i="7" s="1"/>
</calcChain>
</file>

<file path=xl/sharedStrings.xml><?xml version="1.0" encoding="utf-8"?>
<sst xmlns="http://schemas.openxmlformats.org/spreadsheetml/2006/main" count="394" uniqueCount="178">
  <si>
    <t>DRE EMPRESA DE SERVIÇOS - JANEIRO/2023</t>
  </si>
  <si>
    <t>Descrição</t>
  </si>
  <si>
    <t>Sigla</t>
  </si>
  <si>
    <t>Valores (em R$)</t>
  </si>
  <si>
    <t>Receita Bruta</t>
  </si>
  <si>
    <t>FB</t>
  </si>
  <si>
    <t>Cliente 1</t>
  </si>
  <si>
    <t>Cliente 2</t>
  </si>
  <si>
    <t>Cliente 3</t>
  </si>
  <si>
    <t>Deduções e Cancelamentos</t>
  </si>
  <si>
    <t>C</t>
  </si>
  <si>
    <t>Cancelamentos</t>
  </si>
  <si>
    <t>Devoluções</t>
  </si>
  <si>
    <t>Impostos sobre Faturamento</t>
  </si>
  <si>
    <t>I</t>
  </si>
  <si>
    <t>ISS (5%)</t>
  </si>
  <si>
    <t>PIS e COFINS (9,25%)</t>
  </si>
  <si>
    <t>Receita Líquida</t>
  </si>
  <si>
    <t xml:space="preserve">FL = (FB) - (I) - (C) </t>
  </si>
  <si>
    <t>Custos  dos Serviços Prestados (CSP)</t>
  </si>
  <si>
    <t>CMV</t>
  </si>
  <si>
    <t>Lucro Bruto</t>
  </si>
  <si>
    <t>LB = (FL) - (CMV)</t>
  </si>
  <si>
    <t>Margem Bruta - %</t>
  </si>
  <si>
    <t>MB = (LB) / (FL)</t>
  </si>
  <si>
    <t>Despesas Variáveis Totais</t>
  </si>
  <si>
    <t>OPEX = (DV) + (DF)</t>
  </si>
  <si>
    <t>Despesas com Venda (Variáveis)</t>
  </si>
  <si>
    <t>DV</t>
  </si>
  <si>
    <t>Vendas e Comissões (8%)</t>
  </si>
  <si>
    <t>Taxa de cartão (2.0%)</t>
  </si>
  <si>
    <t>Despesas Operacionais (Variáveis)</t>
  </si>
  <si>
    <t>Outras</t>
  </si>
  <si>
    <t>MC = (LB) - (DV)</t>
  </si>
  <si>
    <t>Margem de Contribuição - %</t>
  </si>
  <si>
    <t>MC% = (MC) / (FL)</t>
  </si>
  <si>
    <t>Despesas Gerais e Adm. (Fixas)</t>
  </si>
  <si>
    <t>DF</t>
  </si>
  <si>
    <t>Analista de mkt</t>
  </si>
  <si>
    <t>Analista de planejamento</t>
  </si>
  <si>
    <t>Resultado Operacional (EBITDA)</t>
  </si>
  <si>
    <t>EBITDA = (LB) - (OPEX) 
ou 
EBITDA = (MC) - (DF)</t>
  </si>
  <si>
    <t>Margem EBITDA %</t>
  </si>
  <si>
    <t>EBITDA% = (EBITDA) / (FL)</t>
  </si>
  <si>
    <t>Resultado Financeiro</t>
  </si>
  <si>
    <t>RF</t>
  </si>
  <si>
    <t>Despesas Financeiras</t>
  </si>
  <si>
    <t>Receitas Financeiras</t>
  </si>
  <si>
    <t>Depreciação e Amortização</t>
  </si>
  <si>
    <t>DA</t>
  </si>
  <si>
    <t>Depreciação</t>
  </si>
  <si>
    <t>Amortização</t>
  </si>
  <si>
    <t>Lucro antes de Imposto de Renda</t>
  </si>
  <si>
    <t>LAIR = (EBITDA) - (RF) - (DA)</t>
  </si>
  <si>
    <t>Impostos sobre Lucro</t>
  </si>
  <si>
    <t>IL</t>
  </si>
  <si>
    <t>CSLL + IRPJ (15%)</t>
  </si>
  <si>
    <t>Lucro Líquido</t>
  </si>
  <si>
    <t>LL = (LAIR) - (IL)</t>
  </si>
  <si>
    <t xml:space="preserve">Margem Líquida % </t>
  </si>
  <si>
    <t>LL% = (LL) / (FL)</t>
  </si>
  <si>
    <t>Camiseta 1</t>
  </si>
  <si>
    <t>Camiseta 2</t>
  </si>
  <si>
    <t>Camiseta 3</t>
  </si>
  <si>
    <t>Profissional de embalagem e expedição</t>
  </si>
  <si>
    <t>Gerente de produção</t>
  </si>
  <si>
    <t>INVESTIMENTO INICIAL</t>
  </si>
  <si>
    <t>TIR</t>
  </si>
  <si>
    <t>Em R$</t>
  </si>
  <si>
    <t>1º TRIMESTRE</t>
  </si>
  <si>
    <t>2º TRIMESTRE</t>
  </si>
  <si>
    <t>Janeiro</t>
  </si>
  <si>
    <t>Fevereiro</t>
  </si>
  <si>
    <t>Março</t>
  </si>
  <si>
    <t>Abril</t>
  </si>
  <si>
    <t>Maio</t>
  </si>
  <si>
    <t>Junho</t>
  </si>
  <si>
    <t xml:space="preserve">Lucro Líquido % </t>
  </si>
  <si>
    <t>Fluxo de Caixa no mês</t>
  </si>
  <si>
    <t>Fluxo de Caixa Acumulado</t>
  </si>
  <si>
    <t>Julho</t>
  </si>
  <si>
    <t>Planejamento Estratégico</t>
  </si>
  <si>
    <t>3º TRIMESTRE</t>
  </si>
  <si>
    <t>4º TRIMESTRE</t>
  </si>
  <si>
    <t>Agosto</t>
  </si>
  <si>
    <t>Setembro</t>
  </si>
  <si>
    <t>Outubro</t>
  </si>
  <si>
    <t>Novembro</t>
  </si>
  <si>
    <t>Dezembro</t>
  </si>
  <si>
    <t>NOVOS CLIENTES</t>
  </si>
  <si>
    <t>Investimento em equipe de vendas, trade e mkt</t>
  </si>
  <si>
    <t>Custo de Aquisição por Cliente</t>
  </si>
  <si>
    <t>Número de novos clientes</t>
  </si>
  <si>
    <t>Preço Médio por pedido</t>
  </si>
  <si>
    <t>Média de pedidos por cliente novo</t>
  </si>
  <si>
    <t>Receita Novos Clientes</t>
  </si>
  <si>
    <t>COHORTS - RECORRÊNCIA DOS CLIENTES</t>
  </si>
  <si>
    <t>Número de clientes recorrentes</t>
  </si>
  <si>
    <t>Receita Bruta Total</t>
  </si>
  <si>
    <t>SERVIÇOS</t>
  </si>
  <si>
    <t>PLANEJAMENTO FINANCEIRO</t>
  </si>
  <si>
    <t>Premissa: pós alguns testes notamos que Limpeza foi muito bem no Google e clareamento em mídia social (ex. Instagram)... Doctoralia não dá para escalar...</t>
  </si>
  <si>
    <t>Share Receita</t>
  </si>
  <si>
    <t>Serviço &amp; Canal</t>
  </si>
  <si>
    <t>Limpeza</t>
  </si>
  <si>
    <t xml:space="preserve">     Social Media</t>
  </si>
  <si>
    <t xml:space="preserve">     Google</t>
  </si>
  <si>
    <t xml:space="preserve">     Doctoralia</t>
  </si>
  <si>
    <t>Clareamento</t>
  </si>
  <si>
    <t>Contribuição Marginal</t>
  </si>
  <si>
    <t>R$ / consulta</t>
  </si>
  <si>
    <t>Preço Consulta</t>
  </si>
  <si>
    <t>Impostos</t>
  </si>
  <si>
    <t>Planejando o investimento de mkt com base no ROI...</t>
  </si>
  <si>
    <t>Custo</t>
  </si>
  <si>
    <t>Ex. Material consumido, ajudante rateada por consulta</t>
  </si>
  <si>
    <t>Margem Bruta</t>
  </si>
  <si>
    <t>Despesas Variáveis</t>
  </si>
  <si>
    <t>Ex. Meio de pagamento</t>
  </si>
  <si>
    <t>CMA pré-mkt</t>
  </si>
  <si>
    <t>Mg Contrib. pré-mkt</t>
  </si>
  <si>
    <t>Marketing (% receita)</t>
  </si>
  <si>
    <t>Investimento</t>
  </si>
  <si>
    <t>ROI</t>
  </si>
  <si>
    <t>Contr. Marg. Abs</t>
  </si>
  <si>
    <t>Mg Contribuição</t>
  </si>
  <si>
    <t>Caso você tenha um site e consiga trackear jornada de compras do usuário... Números visualizados no Facebook Ads e Google Ads...</t>
  </si>
  <si>
    <t>Alcance</t>
  </si>
  <si>
    <t>Campanha de Limpeza</t>
  </si>
  <si>
    <t>Campanha de Clareamento</t>
  </si>
  <si>
    <t>Cliques</t>
  </si>
  <si>
    <t>Click Through Rate - para avaliar a performance dos anúncios</t>
  </si>
  <si>
    <t>Custo por Visita</t>
  </si>
  <si>
    <t>Conversão</t>
  </si>
  <si>
    <t>Caso antes da consulta você pergunte o canal pelo qual o cliente te conheceu e depois os classifique com base na primeira consulta entre Limpeza e Clareamento...</t>
  </si>
  <si>
    <t>LTV dos clientes</t>
  </si>
  <si>
    <t>Contribuição Marginal Acumulada por grupo de clientes</t>
  </si>
  <si>
    <t>LTV/CAC</t>
  </si>
  <si>
    <t>LTV/CAC por grupo de clientes</t>
  </si>
  <si>
    <t>FLUXO DE CAIXA - FECHAMENTO DO SEMESTRE</t>
  </si>
  <si>
    <t>Q1 - 1º TRIMESTRE</t>
  </si>
  <si>
    <t>Q2 - 2º TRIMESTRE</t>
  </si>
  <si>
    <t>Faturamento Bruto - R$</t>
  </si>
  <si>
    <t>Impostos sobre Faturamento - R$</t>
  </si>
  <si>
    <t>PIS</t>
  </si>
  <si>
    <t>COFINS</t>
  </si>
  <si>
    <t>ICMS</t>
  </si>
  <si>
    <t>Deduções e Cancelamentos - R$</t>
  </si>
  <si>
    <t>Faturamento Líquido - R$</t>
  </si>
  <si>
    <t>Custos de Mercadoria Vendida (CMV) - R$</t>
  </si>
  <si>
    <t>Lucro Bruto - R$</t>
  </si>
  <si>
    <t>Despesas totais - R$</t>
  </si>
  <si>
    <t>Despesas Variáveis - R$</t>
  </si>
  <si>
    <t>Vendas e Comissões</t>
  </si>
  <si>
    <t>Taxa de cartão</t>
  </si>
  <si>
    <t>Margem de Contribuição - R$</t>
  </si>
  <si>
    <t>Despesas Fixas - R$</t>
  </si>
  <si>
    <t>5 Costureiros</t>
  </si>
  <si>
    <t>Profissional de estamparia</t>
  </si>
  <si>
    <t>Resultado Operacional (EBITDA) - R$</t>
  </si>
  <si>
    <t>Resultado Financeiro - R$</t>
  </si>
  <si>
    <t>Depreciação e Amortização - R$</t>
  </si>
  <si>
    <t>Depreciação - R$</t>
  </si>
  <si>
    <t>Amortização - R$</t>
  </si>
  <si>
    <t>Lucro antes de Imposto de Renda - R$</t>
  </si>
  <si>
    <t>Impostos sobre Lucro - R$</t>
  </si>
  <si>
    <t>CSLL + IRPJ</t>
  </si>
  <si>
    <t>Lucro Líquido - R$</t>
  </si>
  <si>
    <t>VPL - FLUXO DE CAIXA - PROJETO DE FABRICAÇÃO DE CALÇAS</t>
  </si>
  <si>
    <t xml:space="preserve">TMA </t>
  </si>
  <si>
    <t>VPL</t>
  </si>
  <si>
    <t>Calças</t>
  </si>
  <si>
    <t>Insumos</t>
  </si>
  <si>
    <t>2 Costureiros</t>
  </si>
  <si>
    <t>No mês zero = investimento inicial</t>
  </si>
  <si>
    <t>EBITDA = (LB) - (DF) - (DV)</t>
  </si>
  <si>
    <t>EBIT = (EBITDA) - (RF) - (DA)</t>
  </si>
  <si>
    <t>LL = (EBIT) - (IL)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</si>
</sst>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"/>
    <numFmt numFmtId="165" formatCode="&quot;R$&quot;\ #,##0.00"/>
    <numFmt numFmtId="166" formatCode="0.0%"/>
    <numFmt numFmtId="167" formatCode="&quot;$&quot;#,##0"/>
    <numFmt numFmtId="168" formatCode="0.0"/>
  </numFmts>
  <fonts count="27" x14ac:knownFonts="1">
    <font>
      <sz val="10"/>
      <color rgb="FF000000"/>
      <name val="Arial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1"/>
      <color rgb="FFFFFFFF"/>
      <name val="Montserrat"/>
    </font>
    <font>
      <sz val="10"/>
      <name val="Arial"/>
      <family val="2"/>
    </font>
    <font>
      <sz val="12"/>
      <color theme="1"/>
      <name val="Montserrat"/>
    </font>
    <font>
      <b/>
      <sz val="12"/>
      <color theme="1"/>
      <name val="Montserrat"/>
    </font>
    <font>
      <b/>
      <sz val="11"/>
      <color theme="0"/>
      <name val="Montserrat"/>
    </font>
    <font>
      <sz val="11"/>
      <color theme="0"/>
      <name val="Montserrat"/>
    </font>
    <font>
      <sz val="11"/>
      <color rgb="FFFFFFFF"/>
      <name val="Montserrat"/>
    </font>
    <font>
      <sz val="10"/>
      <color theme="1"/>
      <name val="Montserrat"/>
    </font>
    <font>
      <b/>
      <sz val="12"/>
      <color theme="0"/>
      <name val="Montserrat"/>
    </font>
    <font>
      <b/>
      <sz val="12"/>
      <color rgb="FFFFFFFF"/>
      <name val="Montserrat"/>
    </font>
    <font>
      <b/>
      <sz val="14"/>
      <color rgb="FFFFFFFF"/>
      <name val="Montserrat"/>
    </font>
    <font>
      <b/>
      <sz val="10"/>
      <color rgb="FFFFFFFF"/>
      <name val="Montserrat"/>
    </font>
    <font>
      <b/>
      <sz val="10"/>
      <color theme="1"/>
      <name val="Montserrat"/>
    </font>
    <font>
      <b/>
      <sz val="10"/>
      <color theme="0"/>
      <name val="Montserrat"/>
    </font>
    <font>
      <sz val="12"/>
      <color theme="0"/>
      <name val="Montserrat"/>
    </font>
    <font>
      <b/>
      <sz val="10"/>
      <color rgb="FFF3F3F3"/>
      <name val="Montserrat"/>
    </font>
    <font>
      <sz val="10"/>
      <color rgb="FFF3F3F3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sz val="9"/>
      <color theme="1"/>
      <name val="Montserrat"/>
    </font>
    <font>
      <sz val="10"/>
      <color theme="1"/>
      <name val="Arial"/>
      <family val="2"/>
    </font>
    <font>
      <b/>
      <sz val="19"/>
      <color theme="1"/>
      <name val="Montserrat"/>
    </font>
    <font>
      <b/>
      <sz val="14"/>
      <color theme="1"/>
      <name val="Montserrat"/>
    </font>
    <font>
      <sz val="19"/>
      <color theme="1"/>
      <name val="Montserrat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1638B"/>
        <bgColor rgb="FF41638B"/>
      </patternFill>
    </fill>
    <fill>
      <patternFill patternType="solid">
        <fgColor rgb="FFABCFDF"/>
        <bgColor rgb="FFABCFDF"/>
      </patternFill>
    </fill>
    <fill>
      <patternFill patternType="solid">
        <fgColor rgb="FF101B46"/>
        <bgColor rgb="FF101B46"/>
      </patternFill>
    </fill>
    <fill>
      <patternFill patternType="solid">
        <fgColor rgb="FFCFE2F3"/>
        <bgColor rgb="FFCFE2F3"/>
      </patternFill>
    </fill>
    <fill>
      <patternFill patternType="solid">
        <fgColor rgb="FF6E7BAB"/>
        <bgColor rgb="FF6E7BAB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101B46"/>
      </left>
      <right/>
      <top style="thick">
        <color rgb="FF101B46"/>
      </top>
      <bottom style="thick">
        <color rgb="FF101B46"/>
      </bottom>
      <diagonal/>
    </border>
    <border>
      <left/>
      <right/>
      <top style="thick">
        <color rgb="FF101B46"/>
      </top>
      <bottom style="thick">
        <color rgb="FF101B46"/>
      </bottom>
      <diagonal/>
    </border>
    <border>
      <left/>
      <right style="thick">
        <color rgb="FF101B46"/>
      </right>
      <top style="thick">
        <color rgb="FF101B46"/>
      </top>
      <bottom style="thick">
        <color rgb="FF101B46"/>
      </bottom>
      <diagonal/>
    </border>
    <border>
      <left style="thick">
        <color rgb="FF101B46"/>
      </left>
      <right style="thin">
        <color rgb="FF000000"/>
      </right>
      <top style="thick">
        <color rgb="FF101B46"/>
      </top>
      <bottom style="thick">
        <color rgb="FF101B46"/>
      </bottom>
      <diagonal/>
    </border>
    <border>
      <left style="thin">
        <color rgb="FF000000"/>
      </left>
      <right style="thick">
        <color rgb="FF101B46"/>
      </right>
      <top style="thick">
        <color rgb="FF101B46"/>
      </top>
      <bottom style="thick">
        <color rgb="FF101B46"/>
      </bottom>
      <diagonal/>
    </border>
    <border>
      <left style="thick">
        <color rgb="FF101B46"/>
      </left>
      <right/>
      <top style="thick">
        <color rgb="FF101B46"/>
      </top>
      <bottom style="thin">
        <color rgb="FF000000"/>
      </bottom>
      <diagonal/>
    </border>
    <border>
      <left/>
      <right/>
      <top style="thick">
        <color rgb="FF101B46"/>
      </top>
      <bottom style="thin">
        <color rgb="FF000000"/>
      </bottom>
      <diagonal/>
    </border>
    <border>
      <left/>
      <right style="thin">
        <color rgb="FF000000"/>
      </right>
      <top style="thick">
        <color rgb="FF101B46"/>
      </top>
      <bottom style="thin">
        <color rgb="FF000000"/>
      </bottom>
      <diagonal/>
    </border>
    <border>
      <left style="thin">
        <color rgb="FF000000"/>
      </left>
      <right/>
      <top style="thick">
        <color rgb="FF101B46"/>
      </top>
      <bottom style="thin">
        <color rgb="FF000000"/>
      </bottom>
      <diagonal/>
    </border>
    <border>
      <left/>
      <right style="thick">
        <color rgb="FF101B46"/>
      </right>
      <top style="thick">
        <color rgb="FF101B46"/>
      </top>
      <bottom style="thin">
        <color rgb="FF000000"/>
      </bottom>
      <diagonal/>
    </border>
    <border>
      <left style="thick">
        <color rgb="FF101B46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101B46"/>
      </right>
      <top style="thin">
        <color rgb="FF000000"/>
      </top>
      <bottom/>
      <diagonal/>
    </border>
    <border>
      <left style="thick">
        <color rgb="FF101B46"/>
      </left>
      <right style="thin">
        <color rgb="FF101B46"/>
      </right>
      <top style="thick">
        <color rgb="FF101B46"/>
      </top>
      <bottom style="thick">
        <color rgb="FF101B46"/>
      </bottom>
      <diagonal/>
    </border>
    <border>
      <left style="thin">
        <color rgb="FF101B46"/>
      </left>
      <right style="thick">
        <color rgb="FF101B46"/>
      </right>
      <top style="thick">
        <color rgb="FF101B46"/>
      </top>
      <bottom style="thick">
        <color rgb="FF101B46"/>
      </bottom>
      <diagonal/>
    </border>
    <border>
      <left style="thick">
        <color rgb="FF101B46"/>
      </left>
      <right style="thin">
        <color rgb="FF101B46"/>
      </right>
      <top style="thin">
        <color rgb="FF101B46"/>
      </top>
      <bottom style="thin">
        <color rgb="FF101B46"/>
      </bottom>
      <diagonal/>
    </border>
    <border>
      <left style="thin">
        <color rgb="FF101B46"/>
      </left>
      <right style="thin">
        <color rgb="FF101B46"/>
      </right>
      <top style="thin">
        <color rgb="FF101B46"/>
      </top>
      <bottom style="thin">
        <color rgb="FF101B46"/>
      </bottom>
      <diagonal/>
    </border>
    <border>
      <left style="thin">
        <color rgb="FF101B46"/>
      </left>
      <right style="thick">
        <color rgb="FF101B46"/>
      </right>
      <top style="thin">
        <color rgb="FF101B46"/>
      </top>
      <bottom style="thin">
        <color rgb="FF101B46"/>
      </bottom>
      <diagonal/>
    </border>
    <border>
      <left style="thick">
        <color rgb="FF101B46"/>
      </left>
      <right style="thin">
        <color rgb="FF101B46"/>
      </right>
      <top/>
      <bottom style="thin">
        <color rgb="FF101B46"/>
      </bottom>
      <diagonal/>
    </border>
    <border>
      <left style="thin">
        <color rgb="FF101B46"/>
      </left>
      <right style="thick">
        <color rgb="FF101B46"/>
      </right>
      <top/>
      <bottom style="thin">
        <color rgb="FF101B46"/>
      </bottom>
      <diagonal/>
    </border>
    <border>
      <left style="thick">
        <color rgb="FF101B46"/>
      </left>
      <right style="thin">
        <color rgb="FF101B46"/>
      </right>
      <top style="thin">
        <color rgb="FF101B46"/>
      </top>
      <bottom/>
      <diagonal/>
    </border>
    <border>
      <left style="thin">
        <color rgb="FF101B46"/>
      </left>
      <right style="thick">
        <color rgb="FF101B46"/>
      </right>
      <top style="thin">
        <color rgb="FF101B46"/>
      </top>
      <bottom/>
      <diagonal/>
    </border>
    <border>
      <left style="thick">
        <color rgb="FF101B46"/>
      </left>
      <right style="thin">
        <color rgb="FF101B46"/>
      </right>
      <top/>
      <bottom/>
      <diagonal/>
    </border>
    <border>
      <left style="thin">
        <color rgb="FF101B46"/>
      </left>
      <right style="thick">
        <color rgb="FF101B46"/>
      </right>
      <top/>
      <bottom/>
      <diagonal/>
    </border>
    <border>
      <left style="thick">
        <color rgb="FF101B46"/>
      </left>
      <right/>
      <top style="thin">
        <color rgb="FF101B46"/>
      </top>
      <bottom style="thin">
        <color rgb="FF101B46"/>
      </bottom>
      <diagonal/>
    </border>
    <border>
      <left style="thick">
        <color rgb="FF101B46"/>
      </left>
      <right style="thick">
        <color rgb="FF101B46"/>
      </right>
      <top style="thick">
        <color rgb="FF101B46"/>
      </top>
      <bottom style="thick">
        <color rgb="FF101B46"/>
      </bottom>
      <diagonal/>
    </border>
    <border>
      <left style="thick">
        <color rgb="FF101B46"/>
      </left>
      <right style="thin">
        <color rgb="FF101B46"/>
      </right>
      <top style="thin">
        <color rgb="FF101B46"/>
      </top>
      <bottom style="thick">
        <color rgb="FF101B46"/>
      </bottom>
      <diagonal/>
    </border>
    <border>
      <left style="thin">
        <color rgb="FF101B46"/>
      </left>
      <right style="thick">
        <color rgb="FF101B46"/>
      </right>
      <top style="thin">
        <color rgb="FF101B46"/>
      </top>
      <bottom style="thick">
        <color rgb="FF101B46"/>
      </bottom>
      <diagonal/>
    </border>
    <border>
      <left style="thin">
        <color rgb="FF101B46"/>
      </left>
      <right style="thin">
        <color rgb="FF101B46"/>
      </right>
      <top style="thin">
        <color rgb="FF101B46"/>
      </top>
      <bottom style="thick">
        <color rgb="FF101B46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/>
    </xf>
    <xf numFmtId="3" fontId="2" fillId="6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7" fillId="5" borderId="0" xfId="0" applyNumberFormat="1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left" vertical="center" wrapText="1"/>
    </xf>
    <xf numFmtId="3" fontId="2" fillId="6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7" fillId="7" borderId="0" xfId="0" applyNumberFormat="1" applyFont="1" applyFill="1" applyAlignment="1">
      <alignment horizontal="left" vertical="center" wrapText="1"/>
    </xf>
    <xf numFmtId="164" fontId="2" fillId="2" borderId="0" xfId="0" quotePrefix="1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9" fontId="2" fillId="6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1" fillId="2" borderId="7" xfId="0" applyFont="1" applyFill="1" applyBorder="1" applyAlignment="1">
      <alignment vertical="center"/>
    </xf>
    <xf numFmtId="164" fontId="1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165" fontId="1" fillId="2" borderId="7" xfId="0" applyNumberFormat="1" applyFont="1" applyFill="1" applyBorder="1"/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 wrapText="1"/>
    </xf>
    <xf numFmtId="165" fontId="11" fillId="2" borderId="0" xfId="0" applyNumberFormat="1" applyFont="1" applyFill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0" fillId="0" borderId="0" xfId="0" applyFont="1"/>
    <xf numFmtId="0" fontId="18" fillId="8" borderId="0" xfId="0" applyFont="1" applyFill="1" applyAlignment="1">
      <alignment horizontal="center"/>
    </xf>
    <xf numFmtId="0" fontId="19" fillId="8" borderId="0" xfId="0" applyFont="1" applyFill="1" applyAlignment="1">
      <alignment horizontal="center" vertical="center"/>
    </xf>
    <xf numFmtId="0" fontId="20" fillId="0" borderId="19" xfId="0" applyFont="1" applyBorder="1"/>
    <xf numFmtId="0" fontId="20" fillId="0" borderId="0" xfId="0" applyFont="1"/>
    <xf numFmtId="167" fontId="10" fillId="9" borderId="0" xfId="0" applyNumberFormat="1" applyFont="1" applyFill="1"/>
    <xf numFmtId="0" fontId="10" fillId="9" borderId="0" xfId="0" applyFont="1" applyFill="1"/>
    <xf numFmtId="3" fontId="10" fillId="0" borderId="0" xfId="0" applyNumberFormat="1" applyFont="1"/>
    <xf numFmtId="0" fontId="10" fillId="9" borderId="0" xfId="0" applyFont="1" applyFill="1" applyAlignment="1">
      <alignment horizontal="center"/>
    </xf>
    <xf numFmtId="3" fontId="20" fillId="0" borderId="0" xfId="0" applyNumberFormat="1" applyFont="1"/>
    <xf numFmtId="9" fontId="10" fillId="0" borderId="0" xfId="0" applyNumberFormat="1" applyFont="1"/>
    <xf numFmtId="0" fontId="20" fillId="0" borderId="18" xfId="0" applyFont="1" applyBorder="1"/>
    <xf numFmtId="3" fontId="20" fillId="0" borderId="20" xfId="0" applyNumberFormat="1" applyFont="1" applyBorder="1"/>
    <xf numFmtId="3" fontId="20" fillId="0" borderId="21" xfId="0" applyNumberFormat="1" applyFont="1" applyBorder="1"/>
    <xf numFmtId="0" fontId="19" fillId="8" borderId="0" xfId="0" applyFont="1" applyFill="1" applyAlignment="1">
      <alignment horizontal="center"/>
    </xf>
    <xf numFmtId="0" fontId="22" fillId="0" borderId="0" xfId="0" applyFont="1"/>
    <xf numFmtId="3" fontId="22" fillId="9" borderId="0" xfId="0" applyNumberFormat="1" applyFont="1" applyFill="1"/>
    <xf numFmtId="0" fontId="22" fillId="0" borderId="18" xfId="0" applyFont="1" applyBorder="1"/>
    <xf numFmtId="9" fontId="22" fillId="0" borderId="20" xfId="0" applyNumberFormat="1" applyFont="1" applyBorder="1"/>
    <xf numFmtId="9" fontId="22" fillId="0" borderId="21" xfId="0" applyNumberFormat="1" applyFont="1" applyBorder="1"/>
    <xf numFmtId="9" fontId="22" fillId="0" borderId="0" xfId="0" applyNumberFormat="1" applyFont="1"/>
    <xf numFmtId="4" fontId="20" fillId="0" borderId="0" xfId="0" applyNumberFormat="1" applyFont="1"/>
    <xf numFmtId="9" fontId="20" fillId="0" borderId="0" xfId="0" applyNumberFormat="1" applyFont="1"/>
    <xf numFmtId="1" fontId="10" fillId="0" borderId="0" xfId="0" applyNumberFormat="1" applyFont="1"/>
    <xf numFmtId="0" fontId="10" fillId="0" borderId="18" xfId="0" applyFont="1" applyBorder="1"/>
    <xf numFmtId="168" fontId="10" fillId="0" borderId="20" xfId="0" applyNumberFormat="1" applyFont="1" applyBorder="1"/>
    <xf numFmtId="168" fontId="10" fillId="0" borderId="21" xfId="0" applyNumberFormat="1" applyFont="1" applyBorder="1"/>
    <xf numFmtId="1" fontId="20" fillId="0" borderId="0" xfId="0" applyNumberFormat="1" applyFont="1"/>
    <xf numFmtId="0" fontId="23" fillId="0" borderId="19" xfId="0" applyFont="1" applyBorder="1"/>
    <xf numFmtId="9" fontId="22" fillId="9" borderId="0" xfId="0" applyNumberFormat="1" applyFont="1" applyFill="1"/>
    <xf numFmtId="0" fontId="22" fillId="9" borderId="0" xfId="0" applyFont="1" applyFill="1"/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3" xfId="0" applyFont="1" applyFill="1" applyBorder="1" applyAlignment="1">
      <alignment wrapText="1"/>
    </xf>
    <xf numFmtId="0" fontId="5" fillId="2" borderId="7" xfId="0" applyFont="1" applyFill="1" applyBorder="1"/>
    <xf numFmtId="0" fontId="5" fillId="2" borderId="11" xfId="0" applyFont="1" applyFill="1" applyBorder="1" applyAlignment="1">
      <alignment wrapText="1"/>
    </xf>
    <xf numFmtId="0" fontId="6" fillId="2" borderId="11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8" xfId="0" applyFont="1" applyFill="1" applyBorder="1"/>
    <xf numFmtId="0" fontId="6" fillId="2" borderId="22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11" fillId="5" borderId="32" xfId="0" applyFont="1" applyFill="1" applyBorder="1" applyAlignment="1">
      <alignment horizontal="left" vertical="center" wrapText="1"/>
    </xf>
    <xf numFmtId="165" fontId="6" fillId="2" borderId="13" xfId="0" applyNumberFormat="1" applyFont="1" applyFill="1" applyBorder="1" applyAlignment="1">
      <alignment horizontal="center" vertical="center"/>
    </xf>
    <xf numFmtId="165" fontId="6" fillId="2" borderId="33" xfId="0" applyNumberFormat="1" applyFont="1" applyFill="1" applyBorder="1" applyAlignment="1">
      <alignment horizontal="center" vertical="center"/>
    </xf>
    <xf numFmtId="165" fontId="6" fillId="2" borderId="15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left" vertical="center" wrapText="1"/>
    </xf>
    <xf numFmtId="165" fontId="11" fillId="2" borderId="35" xfId="0" applyNumberFormat="1" applyFont="1" applyFill="1" applyBorder="1" applyAlignment="1">
      <alignment horizontal="center" vertical="center"/>
    </xf>
    <xf numFmtId="165" fontId="5" fillId="2" borderId="33" xfId="0" applyNumberFormat="1" applyFont="1" applyFill="1" applyBorder="1" applyAlignment="1">
      <alignment horizontal="center" vertical="center"/>
    </xf>
    <xf numFmtId="165" fontId="5" fillId="2" borderId="15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 wrapText="1"/>
    </xf>
    <xf numFmtId="165" fontId="11" fillId="2" borderId="36" xfId="0" applyNumberFormat="1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vertical="center" wrapText="1"/>
    </xf>
    <xf numFmtId="165" fontId="11" fillId="2" borderId="38" xfId="0" applyNumberFormat="1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left" vertical="center" wrapText="1"/>
    </xf>
    <xf numFmtId="0" fontId="17" fillId="2" borderId="39" xfId="0" applyFont="1" applyFill="1" applyBorder="1" applyAlignment="1">
      <alignment vertical="center" wrapText="1"/>
    </xf>
    <xf numFmtId="0" fontId="12" fillId="5" borderId="32" xfId="0" applyFont="1" applyFill="1" applyBorder="1" applyAlignment="1">
      <alignment horizontal="left" vertical="center" wrapText="1"/>
    </xf>
    <xf numFmtId="165" fontId="6" fillId="2" borderId="35" xfId="0" applyNumberFormat="1" applyFont="1" applyFill="1" applyBorder="1" applyAlignment="1">
      <alignment horizontal="center" vertical="center"/>
    </xf>
    <xf numFmtId="165" fontId="6" fillId="2" borderId="36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 wrapText="1"/>
    </xf>
    <xf numFmtId="165" fontId="6" fillId="2" borderId="38" xfId="0" applyNumberFormat="1" applyFont="1" applyFill="1" applyBorder="1" applyAlignment="1">
      <alignment horizontal="center" vertical="center"/>
    </xf>
    <xf numFmtId="0" fontId="12" fillId="5" borderId="40" xfId="0" applyFont="1" applyFill="1" applyBorder="1" applyAlignment="1">
      <alignment horizontal="left" vertical="center" wrapText="1"/>
    </xf>
    <xf numFmtId="165" fontId="6" fillId="2" borderId="12" xfId="0" quotePrefix="1" applyNumberFormat="1" applyFont="1" applyFill="1" applyBorder="1" applyAlignment="1">
      <alignment horizontal="center" vertical="center"/>
    </xf>
    <xf numFmtId="10" fontId="6" fillId="2" borderId="12" xfId="0" applyNumberFormat="1" applyFont="1" applyFill="1" applyBorder="1" applyAlignment="1">
      <alignment horizontal="center" vertical="center"/>
    </xf>
    <xf numFmtId="10" fontId="6" fillId="2" borderId="33" xfId="0" applyNumberFormat="1" applyFont="1" applyFill="1" applyBorder="1" applyAlignment="1">
      <alignment horizontal="center" vertical="center"/>
    </xf>
    <xf numFmtId="10" fontId="6" fillId="2" borderId="15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vertical="center" wrapText="1"/>
    </xf>
    <xf numFmtId="165" fontId="6" fillId="2" borderId="12" xfId="0" quotePrefix="1" applyNumberFormat="1" applyFont="1" applyFill="1" applyBorder="1" applyAlignment="1">
      <alignment horizontal="center" vertical="center" wrapText="1"/>
    </xf>
    <xf numFmtId="165" fontId="6" fillId="2" borderId="33" xfId="0" applyNumberFormat="1" applyFont="1" applyFill="1" applyBorder="1" applyAlignment="1">
      <alignment horizontal="center" vertical="center" wrapText="1"/>
    </xf>
    <xf numFmtId="165" fontId="6" fillId="2" borderId="15" xfId="0" applyNumberFormat="1" applyFont="1" applyFill="1" applyBorder="1" applyAlignment="1">
      <alignment horizontal="center" vertical="center" wrapText="1"/>
    </xf>
    <xf numFmtId="166" fontId="6" fillId="2" borderId="12" xfId="0" quotePrefix="1" applyNumberFormat="1" applyFont="1" applyFill="1" applyBorder="1" applyAlignment="1">
      <alignment horizontal="center" vertical="center"/>
    </xf>
    <xf numFmtId="166" fontId="6" fillId="2" borderId="33" xfId="0" applyNumberFormat="1" applyFont="1" applyFill="1" applyBorder="1" applyAlignment="1">
      <alignment horizontal="center" vertical="center"/>
    </xf>
    <xf numFmtId="166" fontId="6" fillId="2" borderId="15" xfId="0" applyNumberFormat="1" applyFont="1" applyFill="1" applyBorder="1" applyAlignment="1">
      <alignment horizontal="center" vertical="center"/>
    </xf>
    <xf numFmtId="0" fontId="12" fillId="5" borderId="41" xfId="0" applyFont="1" applyFill="1" applyBorder="1" applyAlignment="1">
      <alignment horizontal="left" vertical="center" wrapText="1"/>
    </xf>
    <xf numFmtId="0" fontId="6" fillId="2" borderId="38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vertical="center" wrapText="1"/>
    </xf>
    <xf numFmtId="0" fontId="12" fillId="5" borderId="14" xfId="0" applyFont="1" applyFill="1" applyBorder="1" applyAlignment="1">
      <alignment horizontal="left" vertical="center" wrapText="1"/>
    </xf>
    <xf numFmtId="165" fontId="6" fillId="2" borderId="33" xfId="0" quotePrefix="1" applyNumberFormat="1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left" vertical="center" wrapText="1"/>
    </xf>
    <xf numFmtId="9" fontId="6" fillId="2" borderId="42" xfId="0" applyNumberFormat="1" applyFont="1" applyFill="1" applyBorder="1" applyAlignment="1">
      <alignment horizontal="center" vertical="center"/>
    </xf>
    <xf numFmtId="10" fontId="6" fillId="2" borderId="42" xfId="0" applyNumberFormat="1" applyFont="1" applyFill="1" applyBorder="1" applyAlignment="1">
      <alignment horizontal="center" vertical="center"/>
    </xf>
    <xf numFmtId="10" fontId="6" fillId="2" borderId="1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/>
    </xf>
    <xf numFmtId="0" fontId="13" fillId="8" borderId="43" xfId="0" applyFont="1" applyFill="1" applyBorder="1" applyAlignment="1">
      <alignment vertical="center" wrapText="1"/>
    </xf>
    <xf numFmtId="9" fontId="25" fillId="2" borderId="44" xfId="0" applyNumberFormat="1" applyFont="1" applyFill="1" applyBorder="1" applyAlignment="1">
      <alignment horizontal="center" vertical="center"/>
    </xf>
    <xf numFmtId="165" fontId="25" fillId="2" borderId="44" xfId="0" applyNumberFormat="1" applyFont="1" applyFill="1" applyBorder="1" applyAlignment="1">
      <alignment horizontal="center" vertical="center"/>
    </xf>
    <xf numFmtId="165" fontId="25" fillId="2" borderId="45" xfId="0" applyNumberFormat="1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vertical="center" wrapText="1"/>
    </xf>
    <xf numFmtId="9" fontId="25" fillId="10" borderId="42" xfId="0" applyNumberFormat="1" applyFont="1" applyFill="1" applyBorder="1" applyAlignment="1">
      <alignment horizontal="center" vertical="center"/>
    </xf>
    <xf numFmtId="165" fontId="25" fillId="10" borderId="42" xfId="0" applyNumberFormat="1" applyFont="1" applyFill="1" applyBorder="1" applyAlignment="1">
      <alignment horizontal="center" vertical="center"/>
    </xf>
    <xf numFmtId="165" fontId="25" fillId="10" borderId="17" xfId="0" applyNumberFormat="1" applyFont="1" applyFill="1" applyBorder="1" applyAlignment="1">
      <alignment horizontal="center" vertical="center"/>
    </xf>
    <xf numFmtId="0" fontId="5" fillId="2" borderId="11" xfId="0" applyFont="1" applyFill="1" applyBorder="1"/>
    <xf numFmtId="0" fontId="6" fillId="2" borderId="1" xfId="0" applyFont="1" applyFill="1" applyBorder="1" applyAlignment="1">
      <alignment horizontal="center"/>
    </xf>
    <xf numFmtId="0" fontId="5" fillId="2" borderId="2" xfId="0" applyFont="1" applyFill="1" applyBorder="1"/>
    <xf numFmtId="0" fontId="13" fillId="8" borderId="49" xfId="0" applyFont="1" applyFill="1" applyBorder="1" applyAlignment="1">
      <alignment vertical="center" wrapText="1"/>
    </xf>
    <xf numFmtId="165" fontId="6" fillId="2" borderId="50" xfId="0" applyNumberFormat="1" applyFont="1" applyFill="1" applyBorder="1" applyAlignment="1">
      <alignment horizontal="right" vertical="center"/>
    </xf>
    <xf numFmtId="10" fontId="6" fillId="2" borderId="50" xfId="0" applyNumberFormat="1" applyFont="1" applyFill="1" applyBorder="1" applyAlignment="1">
      <alignment horizontal="right" vertical="center"/>
    </xf>
    <xf numFmtId="0" fontId="11" fillId="5" borderId="56" xfId="0" applyFont="1" applyFill="1" applyBorder="1" applyAlignment="1">
      <alignment horizontal="center" vertical="center" wrapText="1"/>
    </xf>
    <xf numFmtId="0" fontId="11" fillId="5" borderId="57" xfId="0" applyFont="1" applyFill="1" applyBorder="1" applyAlignment="1">
      <alignment horizontal="center" vertical="center" wrapText="1"/>
    </xf>
    <xf numFmtId="0" fontId="11" fillId="5" borderId="58" xfId="0" applyFont="1" applyFill="1" applyBorder="1" applyAlignment="1">
      <alignment horizontal="left" vertical="center" wrapText="1"/>
    </xf>
    <xf numFmtId="165" fontId="6" fillId="2" borderId="59" xfId="0" applyNumberFormat="1" applyFont="1" applyFill="1" applyBorder="1" applyAlignment="1">
      <alignment horizontal="center" vertical="center"/>
    </xf>
    <xf numFmtId="165" fontId="6" fillId="2" borderId="60" xfId="0" applyNumberFormat="1" applyFont="1" applyFill="1" applyBorder="1" applyAlignment="1">
      <alignment horizontal="center" vertical="center"/>
    </xf>
    <xf numFmtId="165" fontId="6" fillId="2" borderId="61" xfId="0" applyNumberFormat="1" applyFont="1" applyFill="1" applyBorder="1" applyAlignment="1">
      <alignment horizontal="center" vertical="center"/>
    </xf>
    <xf numFmtId="165" fontId="6" fillId="2" borderId="62" xfId="0" applyNumberFormat="1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left" vertical="center" wrapText="1"/>
    </xf>
    <xf numFmtId="165" fontId="11" fillId="2" borderId="64" xfId="0" applyNumberFormat="1" applyFont="1" applyFill="1" applyBorder="1" applyAlignment="1">
      <alignment horizontal="center" vertical="center"/>
    </xf>
    <xf numFmtId="165" fontId="5" fillId="2" borderId="60" xfId="0" applyNumberFormat="1" applyFont="1" applyFill="1" applyBorder="1" applyAlignment="1">
      <alignment horizontal="center" vertical="center"/>
    </xf>
    <xf numFmtId="165" fontId="5" fillId="2" borderId="61" xfId="0" applyNumberFormat="1" applyFont="1" applyFill="1" applyBorder="1" applyAlignment="1">
      <alignment horizontal="center" vertical="center"/>
    </xf>
    <xf numFmtId="165" fontId="5" fillId="2" borderId="62" xfId="0" applyNumberFormat="1" applyFont="1" applyFill="1" applyBorder="1" applyAlignment="1">
      <alignment horizontal="center" vertical="center"/>
    </xf>
    <xf numFmtId="0" fontId="17" fillId="2" borderId="65" xfId="0" applyFont="1" applyFill="1" applyBorder="1" applyAlignment="1">
      <alignment vertical="center" wrapText="1"/>
    </xf>
    <xf numFmtId="165" fontId="11" fillId="2" borderId="66" xfId="0" applyNumberFormat="1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left" vertical="center" wrapText="1"/>
    </xf>
    <xf numFmtId="165" fontId="11" fillId="2" borderId="62" xfId="0" applyNumberFormat="1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left" vertical="center" wrapText="1"/>
    </xf>
    <xf numFmtId="0" fontId="17" fillId="2" borderId="67" xfId="0" applyFont="1" applyFill="1" applyBorder="1" applyAlignment="1">
      <alignment vertical="center" wrapText="1"/>
    </xf>
    <xf numFmtId="165" fontId="11" fillId="2" borderId="68" xfId="0" applyNumberFormat="1" applyFont="1" applyFill="1" applyBorder="1" applyAlignment="1">
      <alignment horizontal="center" vertical="center"/>
    </xf>
    <xf numFmtId="0" fontId="12" fillId="5" borderId="58" xfId="0" applyFont="1" applyFill="1" applyBorder="1" applyAlignment="1">
      <alignment horizontal="left" vertical="center" wrapText="1"/>
    </xf>
    <xf numFmtId="165" fontId="6" fillId="2" borderId="64" xfId="0" applyNumberFormat="1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vertical="center" wrapText="1"/>
    </xf>
    <xf numFmtId="165" fontId="6" fillId="2" borderId="66" xfId="0" applyNumberFormat="1" applyFont="1" applyFill="1" applyBorder="1" applyAlignment="1">
      <alignment horizontal="center" vertical="center"/>
    </xf>
    <xf numFmtId="0" fontId="12" fillId="5" borderId="69" xfId="0" applyFont="1" applyFill="1" applyBorder="1" applyAlignment="1">
      <alignment horizontal="left" vertical="center" wrapText="1"/>
    </xf>
    <xf numFmtId="165" fontId="6" fillId="2" borderId="70" xfId="0" quotePrefix="1" applyNumberFormat="1" applyFont="1" applyFill="1" applyBorder="1" applyAlignment="1">
      <alignment horizontal="center" vertical="center"/>
    </xf>
    <xf numFmtId="10" fontId="6" fillId="2" borderId="70" xfId="0" applyNumberFormat="1" applyFont="1" applyFill="1" applyBorder="1" applyAlignment="1">
      <alignment horizontal="center" vertical="center"/>
    </xf>
    <xf numFmtId="10" fontId="6" fillId="2" borderId="60" xfId="0" applyNumberFormat="1" applyFont="1" applyFill="1" applyBorder="1" applyAlignment="1">
      <alignment horizontal="center" vertical="center"/>
    </xf>
    <xf numFmtId="10" fontId="6" fillId="2" borderId="61" xfId="0" applyNumberFormat="1" applyFont="1" applyFill="1" applyBorder="1" applyAlignment="1">
      <alignment horizontal="center" vertical="center"/>
    </xf>
    <xf numFmtId="10" fontId="6" fillId="2" borderId="62" xfId="0" applyNumberFormat="1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165" fontId="6" fillId="2" borderId="70" xfId="0" applyNumberFormat="1" applyFont="1" applyFill="1" applyBorder="1" applyAlignment="1">
      <alignment horizontal="center" vertical="center"/>
    </xf>
    <xf numFmtId="165" fontId="6" fillId="2" borderId="70" xfId="0" quotePrefix="1" applyNumberFormat="1" applyFont="1" applyFill="1" applyBorder="1" applyAlignment="1">
      <alignment horizontal="center" vertical="center" wrapText="1"/>
    </xf>
    <xf numFmtId="165" fontId="6" fillId="2" borderId="60" xfId="0" applyNumberFormat="1" applyFont="1" applyFill="1" applyBorder="1" applyAlignment="1">
      <alignment horizontal="center" vertical="center" wrapText="1"/>
    </xf>
    <xf numFmtId="165" fontId="6" fillId="2" borderId="61" xfId="0" applyNumberFormat="1" applyFont="1" applyFill="1" applyBorder="1" applyAlignment="1">
      <alignment horizontal="center" vertical="center" wrapText="1"/>
    </xf>
    <xf numFmtId="165" fontId="6" fillId="2" borderId="62" xfId="0" applyNumberFormat="1" applyFont="1" applyFill="1" applyBorder="1" applyAlignment="1">
      <alignment horizontal="center" vertical="center" wrapText="1"/>
    </xf>
    <xf numFmtId="166" fontId="6" fillId="2" borderId="70" xfId="0" quotePrefix="1" applyNumberFormat="1" applyFont="1" applyFill="1" applyBorder="1" applyAlignment="1">
      <alignment horizontal="center" vertical="center"/>
    </xf>
    <xf numFmtId="166" fontId="6" fillId="2" borderId="60" xfId="0" applyNumberFormat="1" applyFont="1" applyFill="1" applyBorder="1" applyAlignment="1">
      <alignment horizontal="center" vertical="center"/>
    </xf>
    <xf numFmtId="166" fontId="6" fillId="2" borderId="61" xfId="0" applyNumberFormat="1" applyFont="1" applyFill="1" applyBorder="1" applyAlignment="1">
      <alignment horizontal="center" vertical="center"/>
    </xf>
    <xf numFmtId="166" fontId="6" fillId="2" borderId="62" xfId="0" applyNumberFormat="1" applyFont="1" applyFill="1" applyBorder="1" applyAlignment="1">
      <alignment horizontal="center" vertical="center"/>
    </xf>
    <xf numFmtId="166" fontId="6" fillId="2" borderId="68" xfId="0" applyNumberFormat="1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/>
    </xf>
    <xf numFmtId="0" fontId="6" fillId="2" borderId="64" xfId="0" applyFont="1" applyFill="1" applyBorder="1" applyAlignment="1">
      <alignment horizontal="center" vertical="center"/>
    </xf>
    <xf numFmtId="9" fontId="6" fillId="2" borderId="70" xfId="0" applyNumberFormat="1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wrapText="1"/>
    </xf>
    <xf numFmtId="0" fontId="6" fillId="9" borderId="64" xfId="0" applyFont="1" applyFill="1" applyBorder="1" applyAlignment="1">
      <alignment horizontal="center" vertical="center" wrapText="1"/>
    </xf>
    <xf numFmtId="0" fontId="13" fillId="8" borderId="60" xfId="0" applyFont="1" applyFill="1" applyBorder="1" applyAlignment="1">
      <alignment vertical="center" wrapText="1"/>
    </xf>
    <xf numFmtId="165" fontId="25" fillId="9" borderId="62" xfId="0" applyNumberFormat="1" applyFont="1" applyFill="1" applyBorder="1" applyAlignment="1">
      <alignment horizontal="center" vertical="center"/>
    </xf>
    <xf numFmtId="165" fontId="25" fillId="2" borderId="60" xfId="0" applyNumberFormat="1" applyFont="1" applyFill="1" applyBorder="1" applyAlignment="1">
      <alignment horizontal="center" vertical="center"/>
    </xf>
    <xf numFmtId="165" fontId="25" fillId="2" borderId="61" xfId="0" applyNumberFormat="1" applyFont="1" applyFill="1" applyBorder="1" applyAlignment="1">
      <alignment horizontal="center" vertical="center"/>
    </xf>
    <xf numFmtId="165" fontId="25" fillId="2" borderId="62" xfId="0" applyNumberFormat="1" applyFont="1" applyFill="1" applyBorder="1" applyAlignment="1">
      <alignment horizontal="center" vertical="center"/>
    </xf>
    <xf numFmtId="0" fontId="13" fillId="8" borderId="71" xfId="0" applyFont="1" applyFill="1" applyBorder="1" applyAlignment="1">
      <alignment vertical="center" wrapText="1"/>
    </xf>
    <xf numFmtId="9" fontId="25" fillId="10" borderId="72" xfId="0" applyNumberFormat="1" applyFont="1" applyFill="1" applyBorder="1" applyAlignment="1">
      <alignment horizontal="center" vertical="center"/>
    </xf>
    <xf numFmtId="165" fontId="25" fillId="10" borderId="71" xfId="0" applyNumberFormat="1" applyFont="1" applyFill="1" applyBorder="1" applyAlignment="1">
      <alignment horizontal="center" vertical="center"/>
    </xf>
    <xf numFmtId="165" fontId="25" fillId="10" borderId="73" xfId="0" applyNumberFormat="1" applyFont="1" applyFill="1" applyBorder="1" applyAlignment="1">
      <alignment horizontal="center" vertical="center"/>
    </xf>
    <xf numFmtId="165" fontId="25" fillId="10" borderId="72" xfId="0" applyNumberFormat="1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/>
    </xf>
    <xf numFmtId="0" fontId="9" fillId="0" borderId="9" xfId="0" applyFont="1" applyBorder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164" fontId="8" fillId="2" borderId="0" xfId="0" applyNumberFormat="1" applyFont="1" applyFill="1" applyAlignment="1">
      <alignment vertical="center" wrapText="1"/>
    </xf>
    <xf numFmtId="0" fontId="15" fillId="4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/>
    </xf>
    <xf numFmtId="3" fontId="1" fillId="9" borderId="0" xfId="0" applyNumberFormat="1" applyFont="1" applyFill="1" applyAlignment="1">
      <alignment horizontal="center" vertical="center"/>
    </xf>
    <xf numFmtId="0" fontId="24" fillId="4" borderId="4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/>
    </xf>
    <xf numFmtId="0" fontId="4" fillId="0" borderId="24" xfId="0" applyFont="1" applyBorder="1"/>
    <xf numFmtId="0" fontId="4" fillId="0" borderId="25" xfId="0" applyFont="1" applyBorder="1"/>
    <xf numFmtId="0" fontId="6" fillId="4" borderId="26" xfId="0" applyFont="1" applyFill="1" applyBorder="1" applyAlignment="1">
      <alignment horizontal="center" vertical="center"/>
    </xf>
    <xf numFmtId="0" fontId="4" fillId="0" borderId="27" xfId="0" applyFont="1" applyBorder="1"/>
    <xf numFmtId="0" fontId="26" fillId="4" borderId="46" xfId="0" applyFont="1" applyFill="1" applyBorder="1" applyAlignment="1">
      <alignment horizontal="center" vertical="center" wrapText="1"/>
    </xf>
    <xf numFmtId="0" fontId="4" fillId="0" borderId="47" xfId="0" applyFont="1" applyBorder="1"/>
    <xf numFmtId="0" fontId="4" fillId="0" borderId="48" xfId="0" applyFont="1" applyBorder="1"/>
    <xf numFmtId="0" fontId="6" fillId="4" borderId="51" xfId="0" applyFont="1" applyFill="1" applyBorder="1" applyAlignment="1">
      <alignment horizontal="center"/>
    </xf>
    <xf numFmtId="0" fontId="4" fillId="0" borderId="52" xfId="0" applyFont="1" applyBorder="1"/>
    <xf numFmtId="0" fontId="4" fillId="0" borderId="53" xfId="0" applyFont="1" applyBorder="1"/>
    <xf numFmtId="0" fontId="6" fillId="4" borderId="54" xfId="0" applyFont="1" applyFill="1" applyBorder="1" applyAlignment="1">
      <alignment horizontal="center"/>
    </xf>
    <xf numFmtId="0" fontId="4" fillId="0" borderId="5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="140" workbookViewId="0">
      <pane ySplit="4" topLeftCell="A17" activePane="bottomLeft" state="frozen"/>
      <selection pane="bottomLeft" activeCell="B31" sqref="B31"/>
    </sheetView>
  </sheetViews>
  <sheetFormatPr baseColWidth="10" defaultColWidth="12.6640625" defaultRowHeight="15" customHeight="1" outlineLevelRow="1" x14ac:dyDescent="0.15"/>
  <cols>
    <col min="1" max="1" width="4.33203125" customWidth="1"/>
    <col min="2" max="2" width="50.33203125" customWidth="1"/>
    <col min="3" max="4" width="29.33203125" customWidth="1"/>
    <col min="5" max="5" width="88.33203125" customWidth="1"/>
    <col min="6" max="6" width="12.6640625" customWidth="1"/>
  </cols>
  <sheetData>
    <row r="1" spans="1:26" ht="6" customHeight="1" x14ac:dyDescent="0.2">
      <c r="A1" s="1"/>
      <c r="B1" s="2"/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4"/>
      <c r="B2" s="214" t="s">
        <v>0</v>
      </c>
      <c r="C2" s="215"/>
      <c r="D2" s="216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2">
      <c r="A3" s="1"/>
      <c r="B3" s="6"/>
      <c r="C3" s="7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 x14ac:dyDescent="0.2">
      <c r="A4" s="4"/>
      <c r="B4" s="8" t="s">
        <v>1</v>
      </c>
      <c r="C4" s="9" t="s">
        <v>2</v>
      </c>
      <c r="D4" s="10" t="s">
        <v>3</v>
      </c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/>
      <c r="B5" s="11" t="s">
        <v>4</v>
      </c>
      <c r="C5" s="12" t="s">
        <v>5</v>
      </c>
      <c r="D5" s="13">
        <f>SUM(D6:D8)</f>
        <v>100000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outlineLevel="1" x14ac:dyDescent="0.2">
      <c r="A6" s="4"/>
      <c r="B6" s="14" t="s">
        <v>6</v>
      </c>
      <c r="C6" s="15"/>
      <c r="D6" s="16">
        <v>50000</v>
      </c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outlineLevel="1" x14ac:dyDescent="0.2">
      <c r="A7" s="4"/>
      <c r="B7" s="14" t="s">
        <v>7</v>
      </c>
      <c r="C7" s="15"/>
      <c r="D7" s="16">
        <v>25000</v>
      </c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outlineLevel="1" x14ac:dyDescent="0.2">
      <c r="A8" s="4"/>
      <c r="B8" s="14" t="s">
        <v>8</v>
      </c>
      <c r="C8" s="15"/>
      <c r="D8" s="16">
        <v>25000</v>
      </c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outlineLevel="1" x14ac:dyDescent="0.2">
      <c r="A9" s="4"/>
      <c r="B9" s="217"/>
      <c r="C9" s="213"/>
      <c r="D9" s="213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outlineLevel="1" x14ac:dyDescent="0.2">
      <c r="A10" s="4"/>
      <c r="B10" s="17" t="s">
        <v>9</v>
      </c>
      <c r="C10" s="18" t="s">
        <v>10</v>
      </c>
      <c r="D10" s="19">
        <f>SUM(D11:D12)</f>
        <v>10000</v>
      </c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outlineLevel="1" x14ac:dyDescent="0.2">
      <c r="A11" s="4"/>
      <c r="B11" s="14" t="s">
        <v>11</v>
      </c>
      <c r="C11" s="15"/>
      <c r="D11" s="16">
        <v>0</v>
      </c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outlineLevel="1" x14ac:dyDescent="0.2">
      <c r="A12" s="4"/>
      <c r="B12" s="14" t="s">
        <v>12</v>
      </c>
      <c r="C12" s="15"/>
      <c r="D12" s="16">
        <v>10000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outlineLevel="1" x14ac:dyDescent="0.2">
      <c r="A13" s="4"/>
      <c r="B13" s="217"/>
      <c r="C13" s="213"/>
      <c r="D13" s="213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outlineLevel="1" x14ac:dyDescent="0.2">
      <c r="A14" s="4"/>
      <c r="B14" s="11" t="s">
        <v>13</v>
      </c>
      <c r="C14" s="18" t="s">
        <v>14</v>
      </c>
      <c r="D14" s="19">
        <f>SUM(D15:D17)</f>
        <v>12825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outlineLevel="1" x14ac:dyDescent="0.2">
      <c r="A15" s="4"/>
      <c r="B15" s="14" t="s">
        <v>15</v>
      </c>
      <c r="C15" s="15"/>
      <c r="D15" s="16">
        <f>5%*(D5-D10)</f>
        <v>4500</v>
      </c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outlineLevel="1" x14ac:dyDescent="0.2">
      <c r="A16" s="4"/>
      <c r="B16" s="14" t="s">
        <v>16</v>
      </c>
      <c r="C16" s="15"/>
      <c r="D16" s="16">
        <f>9.25%*(D5-D10)</f>
        <v>8325</v>
      </c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outlineLevel="1" x14ac:dyDescent="0.2">
      <c r="A17" s="4"/>
      <c r="B17" s="14"/>
      <c r="C17" s="15"/>
      <c r="D17" s="16">
        <v>0</v>
      </c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4"/>
      <c r="B18" s="217"/>
      <c r="C18" s="213"/>
      <c r="D18" s="213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4"/>
      <c r="B19" s="20" t="s">
        <v>17</v>
      </c>
      <c r="C19" s="18" t="s">
        <v>18</v>
      </c>
      <c r="D19" s="21">
        <f>D5-D14-D10</f>
        <v>77175</v>
      </c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4"/>
      <c r="B20" s="217"/>
      <c r="C20" s="213"/>
      <c r="D20" s="213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4"/>
      <c r="B21" s="11" t="s">
        <v>19</v>
      </c>
      <c r="C21" s="18" t="s">
        <v>20</v>
      </c>
      <c r="D21" s="22">
        <f>SUM(D22:D24)</f>
        <v>30000</v>
      </c>
      <c r="E21" s="2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outlineLevel="1" x14ac:dyDescent="0.2">
      <c r="A22" s="4"/>
      <c r="B22" s="14" t="s">
        <v>6</v>
      </c>
      <c r="C22" s="18"/>
      <c r="D22" s="16">
        <f t="shared" ref="D22:D24" si="0">(D6*(1-($D$12/SUM($D$6:$D$8)))/3)</f>
        <v>15000</v>
      </c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outlineLevel="1" x14ac:dyDescent="0.2">
      <c r="A23" s="4"/>
      <c r="B23" s="14" t="s">
        <v>7</v>
      </c>
      <c r="C23" s="18"/>
      <c r="D23" s="16">
        <f t="shared" si="0"/>
        <v>7500</v>
      </c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outlineLevel="1" x14ac:dyDescent="0.2">
      <c r="A24" s="4"/>
      <c r="B24" s="14" t="s">
        <v>8</v>
      </c>
      <c r="C24" s="18"/>
      <c r="D24" s="16">
        <f t="shared" si="0"/>
        <v>7500</v>
      </c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4"/>
      <c r="B25" s="212"/>
      <c r="C25" s="213"/>
      <c r="D25" s="213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24"/>
      <c r="B26" s="25" t="s">
        <v>21</v>
      </c>
      <c r="C26" s="26" t="s">
        <v>22</v>
      </c>
      <c r="D26" s="13">
        <f>D19-D21</f>
        <v>47175</v>
      </c>
      <c r="E26" s="5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2">
      <c r="A27" s="4"/>
      <c r="B27" s="25" t="s">
        <v>23</v>
      </c>
      <c r="C27" s="18" t="s">
        <v>24</v>
      </c>
      <c r="D27" s="28">
        <f>D26/D19</f>
        <v>0.61127308066083574</v>
      </c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outlineLevel="1" x14ac:dyDescent="0.2">
      <c r="A28" s="4"/>
      <c r="B28" s="212"/>
      <c r="C28" s="213"/>
      <c r="D28" s="213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outlineLevel="1" x14ac:dyDescent="0.2">
      <c r="A29" s="4"/>
      <c r="B29" s="11" t="s">
        <v>25</v>
      </c>
      <c r="C29" s="18" t="s">
        <v>28</v>
      </c>
      <c r="D29" s="18">
        <f>D31+D35</f>
        <v>9000</v>
      </c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outlineLevel="1" x14ac:dyDescent="0.2">
      <c r="A30" s="4"/>
      <c r="B30" s="212"/>
      <c r="C30" s="213"/>
      <c r="D30" s="213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outlineLevel="1" x14ac:dyDescent="0.2">
      <c r="A31" s="4"/>
      <c r="B31" s="11" t="s">
        <v>27</v>
      </c>
      <c r="C31" s="18"/>
      <c r="D31" s="19">
        <f>SUM(D32:D33)</f>
        <v>9000</v>
      </c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outlineLevel="1" x14ac:dyDescent="0.2">
      <c r="A32" s="4"/>
      <c r="B32" s="14" t="s">
        <v>29</v>
      </c>
      <c r="C32" s="18"/>
      <c r="D32" s="16">
        <f>8%*(D5-D10)</f>
        <v>7200</v>
      </c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outlineLevel="1" x14ac:dyDescent="0.2">
      <c r="A33" s="4"/>
      <c r="B33" s="14" t="s">
        <v>30</v>
      </c>
      <c r="C33" s="18"/>
      <c r="D33" s="16">
        <f>2%*(D5-D10)</f>
        <v>1800</v>
      </c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outlineLevel="1" x14ac:dyDescent="0.2">
      <c r="A34" s="4"/>
      <c r="B34" s="23"/>
      <c r="C34" s="23"/>
      <c r="D34" s="23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outlineLevel="1" x14ac:dyDescent="0.2">
      <c r="A35" s="4"/>
      <c r="B35" s="11" t="s">
        <v>31</v>
      </c>
      <c r="C35" s="18"/>
      <c r="D35" s="19">
        <f>SUM(D36)</f>
        <v>0</v>
      </c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outlineLevel="1" x14ac:dyDescent="0.2">
      <c r="A36" s="4"/>
      <c r="B36" s="14" t="s">
        <v>32</v>
      </c>
      <c r="C36" s="18"/>
      <c r="D36" s="16">
        <v>0</v>
      </c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4"/>
      <c r="B37" s="212"/>
      <c r="C37" s="213"/>
      <c r="D37" s="213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4"/>
      <c r="B38" s="20" t="s">
        <v>36</v>
      </c>
      <c r="C38" s="18" t="s">
        <v>37</v>
      </c>
      <c r="D38" s="19">
        <f>SUM(D39:D42)</f>
        <v>13000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outlineLevel="1" x14ac:dyDescent="0.2">
      <c r="A39" s="4"/>
      <c r="B39" s="14" t="s">
        <v>38</v>
      </c>
      <c r="C39" s="18"/>
      <c r="D39" s="16">
        <v>8000</v>
      </c>
      <c r="E39" s="3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outlineLevel="1" x14ac:dyDescent="0.2">
      <c r="A40" s="4"/>
      <c r="B40" s="14" t="s">
        <v>39</v>
      </c>
      <c r="C40" s="18"/>
      <c r="D40" s="16">
        <v>5000</v>
      </c>
      <c r="E40" s="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outlineLevel="1" x14ac:dyDescent="0.2">
      <c r="A41" s="4"/>
      <c r="B41" s="14"/>
      <c r="C41" s="18"/>
      <c r="D41" s="16">
        <v>0</v>
      </c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outlineLevel="1" x14ac:dyDescent="0.2">
      <c r="A42" s="4"/>
      <c r="B42" s="14"/>
      <c r="C42" s="18"/>
      <c r="D42" s="16">
        <v>0</v>
      </c>
      <c r="E42" s="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4"/>
      <c r="B43" s="23"/>
      <c r="C43" s="18"/>
      <c r="D43" s="31"/>
      <c r="E43" s="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4"/>
      <c r="B44" s="17" t="s">
        <v>40</v>
      </c>
      <c r="C44" s="32" t="s">
        <v>175</v>
      </c>
      <c r="D44" s="33">
        <f>D26-D29-D38</f>
        <v>25175</v>
      </c>
      <c r="E44" s="3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4"/>
      <c r="B45" s="17" t="s">
        <v>42</v>
      </c>
      <c r="C45" s="26" t="s">
        <v>43</v>
      </c>
      <c r="D45" s="28">
        <f>D44/D19</f>
        <v>0.32620667314544866</v>
      </c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4"/>
      <c r="B46" s="212"/>
      <c r="C46" s="213"/>
      <c r="D46" s="213"/>
      <c r="E46" s="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4"/>
      <c r="B47" s="25" t="s">
        <v>44</v>
      </c>
      <c r="C47" s="12" t="s">
        <v>45</v>
      </c>
      <c r="D47" s="22">
        <f>D49+D48</f>
        <v>5</v>
      </c>
      <c r="E47" s="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outlineLevel="1" x14ac:dyDescent="0.2">
      <c r="A48" s="4"/>
      <c r="B48" s="14" t="s">
        <v>46</v>
      </c>
      <c r="C48" s="18"/>
      <c r="D48" s="16">
        <v>5</v>
      </c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outlineLevel="1" x14ac:dyDescent="0.2">
      <c r="A49" s="4"/>
      <c r="B49" s="14" t="s">
        <v>47</v>
      </c>
      <c r="C49" s="18"/>
      <c r="D49" s="16">
        <v>0</v>
      </c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4"/>
      <c r="B50" s="212"/>
      <c r="C50" s="213"/>
      <c r="D50" s="213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4"/>
      <c r="B51" s="25" t="s">
        <v>48</v>
      </c>
      <c r="C51" s="12" t="s">
        <v>49</v>
      </c>
      <c r="D51" s="22">
        <f>D52+D53</f>
        <v>110</v>
      </c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outlineLevel="1" x14ac:dyDescent="0.2">
      <c r="A52" s="4"/>
      <c r="B52" s="14" t="s">
        <v>50</v>
      </c>
      <c r="C52" s="18"/>
      <c r="D52" s="16">
        <v>100</v>
      </c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outlineLevel="1" x14ac:dyDescent="0.2">
      <c r="A53" s="4"/>
      <c r="B53" s="14" t="s">
        <v>51</v>
      </c>
      <c r="C53" s="18"/>
      <c r="D53" s="16">
        <v>10</v>
      </c>
      <c r="E53" s="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4"/>
      <c r="B54" s="212"/>
      <c r="C54" s="213"/>
      <c r="D54" s="213"/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4"/>
      <c r="B55" s="25" t="s">
        <v>52</v>
      </c>
      <c r="C55" s="26" t="s">
        <v>176</v>
      </c>
      <c r="D55" s="21">
        <f>D44+D47-D51</f>
        <v>25070</v>
      </c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4"/>
      <c r="B56" s="212"/>
      <c r="C56" s="213"/>
      <c r="D56" s="213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4"/>
      <c r="B57" s="25" t="s">
        <v>54</v>
      </c>
      <c r="C57" s="12" t="s">
        <v>55</v>
      </c>
      <c r="D57" s="22">
        <f>SUM(D58)</f>
        <v>3760.5</v>
      </c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outlineLevel="1" x14ac:dyDescent="0.2">
      <c r="A58" s="4"/>
      <c r="B58" s="14" t="s">
        <v>56</v>
      </c>
      <c r="C58" s="18"/>
      <c r="D58" s="16">
        <f>15%*D55</f>
        <v>3760.5</v>
      </c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4"/>
      <c r="B59" s="212"/>
      <c r="C59" s="213"/>
      <c r="D59" s="213"/>
      <c r="E59" s="3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4"/>
      <c r="B60" s="17" t="s">
        <v>57</v>
      </c>
      <c r="C60" s="29" t="s">
        <v>177</v>
      </c>
      <c r="D60" s="21">
        <f>D55-D57</f>
        <v>21309.5</v>
      </c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4"/>
      <c r="B61" s="11" t="s">
        <v>59</v>
      </c>
      <c r="C61" s="18" t="s">
        <v>60</v>
      </c>
      <c r="D61" s="28">
        <f>D60/D19</f>
        <v>0.27611920958859737</v>
      </c>
      <c r="E61" s="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36"/>
      <c r="C62" s="37"/>
      <c r="D62" s="3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38"/>
      <c r="C63" s="39"/>
      <c r="D63" s="3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38"/>
      <c r="C64" s="39"/>
      <c r="D64" s="3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38"/>
      <c r="C65" s="39"/>
      <c r="D65" s="3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38"/>
      <c r="C66" s="39"/>
      <c r="D66" s="3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38"/>
      <c r="C67" s="39"/>
      <c r="D67" s="3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38"/>
      <c r="C68" s="39"/>
      <c r="D68" s="3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38"/>
      <c r="C69" s="39"/>
      <c r="D69" s="3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38"/>
      <c r="C70" s="39"/>
      <c r="D70" s="3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38"/>
      <c r="C71" s="39"/>
      <c r="D71" s="3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38"/>
      <c r="C72" s="39"/>
      <c r="D72" s="3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38"/>
      <c r="C73" s="39"/>
      <c r="D73" s="3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38"/>
      <c r="C74" s="39"/>
      <c r="D74" s="3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38"/>
      <c r="C75" s="39"/>
      <c r="D75" s="3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38"/>
      <c r="C76" s="39"/>
      <c r="D76" s="3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38"/>
      <c r="C77" s="39"/>
      <c r="D77" s="3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38"/>
      <c r="C78" s="39"/>
      <c r="D78" s="3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38"/>
      <c r="C79" s="39"/>
      <c r="D79" s="3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38"/>
      <c r="C80" s="39"/>
      <c r="D80" s="3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38"/>
      <c r="C81" s="39"/>
      <c r="D81" s="3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38"/>
      <c r="C82" s="39"/>
      <c r="D82" s="3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38"/>
      <c r="C83" s="39"/>
      <c r="D83" s="3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38"/>
      <c r="C84" s="39"/>
      <c r="D84" s="3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38"/>
      <c r="C85" s="39"/>
      <c r="D85" s="3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38"/>
      <c r="C86" s="39"/>
      <c r="D86" s="3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38"/>
      <c r="C87" s="39"/>
      <c r="D87" s="3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38"/>
      <c r="C88" s="39"/>
      <c r="D88" s="3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38"/>
      <c r="C89" s="39"/>
      <c r="D89" s="3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38"/>
      <c r="C90" s="39"/>
      <c r="D90" s="3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38"/>
      <c r="C91" s="39"/>
      <c r="D91" s="3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38"/>
      <c r="C92" s="39"/>
      <c r="D92" s="3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38"/>
      <c r="C93" s="39"/>
      <c r="D93" s="3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38"/>
      <c r="C94" s="39"/>
      <c r="D94" s="3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38"/>
      <c r="C95" s="39"/>
      <c r="D95" s="3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38"/>
      <c r="C96" s="39"/>
      <c r="D96" s="3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38"/>
      <c r="C97" s="39"/>
      <c r="D97" s="3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38"/>
      <c r="C98" s="39"/>
      <c r="D98" s="3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38"/>
      <c r="C99" s="39"/>
      <c r="D99" s="3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38"/>
      <c r="C100" s="39"/>
      <c r="D100" s="3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38"/>
      <c r="C101" s="39"/>
      <c r="D101" s="3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38"/>
      <c r="C102" s="39"/>
      <c r="D102" s="3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38"/>
      <c r="C103" s="39"/>
      <c r="D103" s="3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38"/>
      <c r="C104" s="39"/>
      <c r="D104" s="3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38"/>
      <c r="C105" s="39"/>
      <c r="D105" s="3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38"/>
      <c r="C106" s="39"/>
      <c r="D106" s="3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38"/>
      <c r="C107" s="39"/>
      <c r="D107" s="3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38"/>
      <c r="C108" s="39"/>
      <c r="D108" s="3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38"/>
      <c r="C109" s="39"/>
      <c r="D109" s="3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38"/>
      <c r="C110" s="39"/>
      <c r="D110" s="3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38"/>
      <c r="C111" s="39"/>
      <c r="D111" s="3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38"/>
      <c r="C112" s="39"/>
      <c r="D112" s="3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38"/>
      <c r="C113" s="39"/>
      <c r="D113" s="3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38"/>
      <c r="C114" s="39"/>
      <c r="D114" s="3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38"/>
      <c r="C115" s="39"/>
      <c r="D115" s="3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38"/>
      <c r="C116" s="39"/>
      <c r="D116" s="3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38"/>
      <c r="C117" s="39"/>
      <c r="D117" s="3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38"/>
      <c r="C118" s="39"/>
      <c r="D118" s="3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38"/>
      <c r="C119" s="39"/>
      <c r="D119" s="3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38"/>
      <c r="C120" s="39"/>
      <c r="D120" s="3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38"/>
      <c r="C121" s="39"/>
      <c r="D121" s="3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38"/>
      <c r="C122" s="39"/>
      <c r="D122" s="3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38"/>
      <c r="C123" s="39"/>
      <c r="D123" s="3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38"/>
      <c r="C124" s="39"/>
      <c r="D124" s="3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38"/>
      <c r="C125" s="39"/>
      <c r="D125" s="3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38"/>
      <c r="C126" s="39"/>
      <c r="D126" s="3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38"/>
      <c r="C127" s="39"/>
      <c r="D127" s="3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38"/>
      <c r="C128" s="39"/>
      <c r="D128" s="3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38"/>
      <c r="C129" s="39"/>
      <c r="D129" s="3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38"/>
      <c r="C130" s="39"/>
      <c r="D130" s="3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38"/>
      <c r="C131" s="39"/>
      <c r="D131" s="3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38"/>
      <c r="C132" s="39"/>
      <c r="D132" s="3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38"/>
      <c r="C133" s="39"/>
      <c r="D133" s="3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38"/>
      <c r="C134" s="39"/>
      <c r="D134" s="3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38"/>
      <c r="C135" s="39"/>
      <c r="D135" s="3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38"/>
      <c r="C136" s="39"/>
      <c r="D136" s="3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38"/>
      <c r="C137" s="39"/>
      <c r="D137" s="3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38"/>
      <c r="C138" s="39"/>
      <c r="D138" s="3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38"/>
      <c r="C139" s="39"/>
      <c r="D139" s="3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38"/>
      <c r="C140" s="39"/>
      <c r="D140" s="3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38"/>
      <c r="C141" s="39"/>
      <c r="D141" s="3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38"/>
      <c r="C142" s="39"/>
      <c r="D142" s="3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38"/>
      <c r="C143" s="39"/>
      <c r="D143" s="3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38"/>
      <c r="C144" s="39"/>
      <c r="D144" s="3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38"/>
      <c r="C145" s="39"/>
      <c r="D145" s="3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38"/>
      <c r="C146" s="39"/>
      <c r="D146" s="3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38"/>
      <c r="C147" s="39"/>
      <c r="D147" s="3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38"/>
      <c r="C148" s="39"/>
      <c r="D148" s="3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38"/>
      <c r="C149" s="39"/>
      <c r="D149" s="3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38"/>
      <c r="C150" s="39"/>
      <c r="D150" s="3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38"/>
      <c r="C151" s="39"/>
      <c r="D151" s="3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38"/>
      <c r="C152" s="39"/>
      <c r="D152" s="3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38"/>
      <c r="C153" s="39"/>
      <c r="D153" s="3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38"/>
      <c r="C154" s="39"/>
      <c r="D154" s="3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38"/>
      <c r="C155" s="39"/>
      <c r="D155" s="3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38"/>
      <c r="C156" s="39"/>
      <c r="D156" s="3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38"/>
      <c r="C157" s="39"/>
      <c r="D157" s="3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38"/>
      <c r="C158" s="39"/>
      <c r="D158" s="3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38"/>
      <c r="C159" s="39"/>
      <c r="D159" s="3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38"/>
      <c r="C160" s="39"/>
      <c r="D160" s="3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38"/>
      <c r="C161" s="39"/>
      <c r="D161" s="3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38"/>
      <c r="C162" s="39"/>
      <c r="D162" s="3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38"/>
      <c r="C163" s="39"/>
      <c r="D163" s="3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38"/>
      <c r="C164" s="39"/>
      <c r="D164" s="3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38"/>
      <c r="C165" s="39"/>
      <c r="D165" s="3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38"/>
      <c r="C166" s="39"/>
      <c r="D166" s="3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38"/>
      <c r="C167" s="39"/>
      <c r="D167" s="3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38"/>
      <c r="C168" s="39"/>
      <c r="D168" s="3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38"/>
      <c r="C169" s="39"/>
      <c r="D169" s="3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38"/>
      <c r="C170" s="39"/>
      <c r="D170" s="3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38"/>
      <c r="C171" s="39"/>
      <c r="D171" s="3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38"/>
      <c r="C172" s="39"/>
      <c r="D172" s="3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38"/>
      <c r="C173" s="39"/>
      <c r="D173" s="3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38"/>
      <c r="C174" s="39"/>
      <c r="D174" s="3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38"/>
      <c r="C175" s="39"/>
      <c r="D175" s="3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38"/>
      <c r="C176" s="39"/>
      <c r="D176" s="3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38"/>
      <c r="C177" s="39"/>
      <c r="D177" s="3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38"/>
      <c r="C178" s="39"/>
      <c r="D178" s="3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38"/>
      <c r="C179" s="39"/>
      <c r="D179" s="3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38"/>
      <c r="C180" s="39"/>
      <c r="D180" s="3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38"/>
      <c r="C181" s="39"/>
      <c r="D181" s="3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38"/>
      <c r="C182" s="39"/>
      <c r="D182" s="3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38"/>
      <c r="C183" s="39"/>
      <c r="D183" s="3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38"/>
      <c r="C184" s="39"/>
      <c r="D184" s="3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38"/>
      <c r="C185" s="39"/>
      <c r="D185" s="3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38"/>
      <c r="C186" s="39"/>
      <c r="D186" s="3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38"/>
      <c r="C187" s="39"/>
      <c r="D187" s="3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38"/>
      <c r="C188" s="39"/>
      <c r="D188" s="3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38"/>
      <c r="C189" s="39"/>
      <c r="D189" s="3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38"/>
      <c r="C190" s="39"/>
      <c r="D190" s="3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38"/>
      <c r="C191" s="39"/>
      <c r="D191" s="3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38"/>
      <c r="C192" s="39"/>
      <c r="D192" s="3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38"/>
      <c r="C193" s="39"/>
      <c r="D193" s="3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38"/>
      <c r="C194" s="39"/>
      <c r="D194" s="3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38"/>
      <c r="C195" s="39"/>
      <c r="D195" s="3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38"/>
      <c r="C196" s="39"/>
      <c r="D196" s="3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38"/>
      <c r="C197" s="39"/>
      <c r="D197" s="3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38"/>
      <c r="C198" s="39"/>
      <c r="D198" s="3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38"/>
      <c r="C199" s="39"/>
      <c r="D199" s="3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38"/>
      <c r="C200" s="39"/>
      <c r="D200" s="3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38"/>
      <c r="C201" s="39"/>
      <c r="D201" s="3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38"/>
      <c r="C202" s="39"/>
      <c r="D202" s="3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38"/>
      <c r="C203" s="39"/>
      <c r="D203" s="3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38"/>
      <c r="C204" s="39"/>
      <c r="D204" s="3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38"/>
      <c r="C205" s="39"/>
      <c r="D205" s="3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38"/>
      <c r="C206" s="39"/>
      <c r="D206" s="3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38"/>
      <c r="C207" s="39"/>
      <c r="D207" s="3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38"/>
      <c r="C208" s="39"/>
      <c r="D208" s="3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38"/>
      <c r="C209" s="39"/>
      <c r="D209" s="3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38"/>
      <c r="C210" s="39"/>
      <c r="D210" s="3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38"/>
      <c r="C211" s="39"/>
      <c r="D211" s="3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38"/>
      <c r="C212" s="39"/>
      <c r="D212" s="3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38"/>
      <c r="C213" s="39"/>
      <c r="D213" s="3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38"/>
      <c r="C214" s="39"/>
      <c r="D214" s="3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38"/>
      <c r="C215" s="39"/>
      <c r="D215" s="3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38"/>
      <c r="C216" s="39"/>
      <c r="D216" s="3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38"/>
      <c r="C217" s="39"/>
      <c r="D217" s="3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38"/>
      <c r="C218" s="39"/>
      <c r="D218" s="3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38"/>
      <c r="C219" s="39"/>
      <c r="D219" s="3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38"/>
      <c r="C220" s="39"/>
      <c r="D220" s="3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38"/>
      <c r="C221" s="39"/>
      <c r="D221" s="3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38"/>
      <c r="C222" s="39"/>
      <c r="D222" s="3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38"/>
      <c r="C223" s="39"/>
      <c r="D223" s="3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38"/>
      <c r="C224" s="39"/>
      <c r="D224" s="3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38"/>
      <c r="C225" s="39"/>
      <c r="D225" s="3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38"/>
      <c r="C226" s="39"/>
      <c r="D226" s="3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38"/>
      <c r="C227" s="39"/>
      <c r="D227" s="3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38"/>
      <c r="C228" s="39"/>
      <c r="D228" s="3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38"/>
      <c r="C229" s="39"/>
      <c r="D229" s="3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38"/>
      <c r="C230" s="39"/>
      <c r="D230" s="3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38"/>
      <c r="C231" s="39"/>
      <c r="D231" s="3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38"/>
      <c r="C232" s="39"/>
      <c r="D232" s="3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38"/>
      <c r="C233" s="39"/>
      <c r="D233" s="3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38"/>
      <c r="C234" s="39"/>
      <c r="D234" s="3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38"/>
      <c r="C235" s="39"/>
      <c r="D235" s="3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38"/>
      <c r="C236" s="39"/>
      <c r="D236" s="3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38"/>
      <c r="C237" s="39"/>
      <c r="D237" s="3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38"/>
      <c r="C238" s="39"/>
      <c r="D238" s="3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38"/>
      <c r="C239" s="39"/>
      <c r="D239" s="3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38"/>
      <c r="C240" s="39"/>
      <c r="D240" s="3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38"/>
      <c r="C241" s="39"/>
      <c r="D241" s="3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38"/>
      <c r="C242" s="39"/>
      <c r="D242" s="3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38"/>
      <c r="C243" s="39"/>
      <c r="D243" s="3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38"/>
      <c r="C244" s="39"/>
      <c r="D244" s="3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38"/>
      <c r="C245" s="39"/>
      <c r="D245" s="3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38"/>
      <c r="C246" s="39"/>
      <c r="D246" s="3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38"/>
      <c r="C247" s="39"/>
      <c r="D247" s="3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38"/>
      <c r="C248" s="39"/>
      <c r="D248" s="3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38"/>
      <c r="C249" s="39"/>
      <c r="D249" s="3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38"/>
      <c r="C250" s="39"/>
      <c r="D250" s="3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38"/>
      <c r="C251" s="39"/>
      <c r="D251" s="3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38"/>
      <c r="C252" s="39"/>
      <c r="D252" s="3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38"/>
      <c r="C253" s="39"/>
      <c r="D253" s="3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38"/>
      <c r="C254" s="39"/>
      <c r="D254" s="3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38"/>
      <c r="C255" s="39"/>
      <c r="D255" s="3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38"/>
      <c r="C256" s="39"/>
      <c r="D256" s="3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38"/>
      <c r="C257" s="39"/>
      <c r="D257" s="3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38"/>
      <c r="C258" s="39"/>
      <c r="D258" s="3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38"/>
      <c r="C259" s="39"/>
      <c r="D259" s="3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38"/>
      <c r="C260" s="39"/>
      <c r="D260" s="3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38"/>
      <c r="C261" s="39"/>
      <c r="D261" s="3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/>
    <row r="263" spans="1:26" ht="15.75" customHeight="1" x14ac:dyDescent="0.15"/>
    <row r="264" spans="1:26" ht="15.75" customHeight="1" x14ac:dyDescent="0.15"/>
    <row r="265" spans="1:26" ht="15.75" customHeight="1" x14ac:dyDescent="0.15"/>
    <row r="266" spans="1:26" ht="15.75" customHeight="1" x14ac:dyDescent="0.15"/>
    <row r="267" spans="1:26" ht="15.75" customHeight="1" x14ac:dyDescent="0.15"/>
    <row r="268" spans="1:26" ht="15.75" customHeight="1" x14ac:dyDescent="0.15"/>
    <row r="269" spans="1:26" ht="15.75" customHeight="1" x14ac:dyDescent="0.15"/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</sheetData>
  <mergeCells count="14">
    <mergeCell ref="B56:D56"/>
    <mergeCell ref="B59:D59"/>
    <mergeCell ref="B2:D2"/>
    <mergeCell ref="B9:D9"/>
    <mergeCell ref="B13:D13"/>
    <mergeCell ref="B18:D18"/>
    <mergeCell ref="B20:D20"/>
    <mergeCell ref="B25:D25"/>
    <mergeCell ref="B28:D28"/>
    <mergeCell ref="B30:D30"/>
    <mergeCell ref="B37:D37"/>
    <mergeCell ref="B46:D46"/>
    <mergeCell ref="B50:D50"/>
    <mergeCell ref="B54:D5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showGridLines="0" workbookViewId="0"/>
  </sheetViews>
  <sheetFormatPr baseColWidth="10" defaultColWidth="12.6640625" defaultRowHeight="15" customHeight="1" x14ac:dyDescent="0.15"/>
  <cols>
    <col min="1" max="1" width="45.33203125" customWidth="1"/>
    <col min="2" max="13" width="10.6640625" customWidth="1"/>
    <col min="14" max="14" width="6.5" customWidth="1"/>
    <col min="15" max="15" width="18.5" customWidth="1"/>
  </cols>
  <sheetData>
    <row r="1" spans="1:27" ht="15.75" customHeight="1" x14ac:dyDescent="0.1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 ht="15.75" customHeight="1" x14ac:dyDescent="0.15">
      <c r="A2" s="45" t="s">
        <v>81</v>
      </c>
      <c r="B2" s="218" t="s">
        <v>69</v>
      </c>
      <c r="C2" s="213"/>
      <c r="D2" s="213"/>
      <c r="E2" s="218" t="s">
        <v>70</v>
      </c>
      <c r="F2" s="213"/>
      <c r="G2" s="213"/>
      <c r="H2" s="218" t="s">
        <v>82</v>
      </c>
      <c r="I2" s="213"/>
      <c r="J2" s="213"/>
      <c r="K2" s="218" t="s">
        <v>83</v>
      </c>
      <c r="L2" s="213"/>
      <c r="M2" s="213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7" ht="15.75" customHeight="1" x14ac:dyDescent="0.15">
      <c r="A3" s="46" t="s">
        <v>68</v>
      </c>
      <c r="B3" s="40" t="s">
        <v>71</v>
      </c>
      <c r="C3" s="40" t="s">
        <v>72</v>
      </c>
      <c r="D3" s="40" t="s">
        <v>73</v>
      </c>
      <c r="E3" s="40" t="s">
        <v>74</v>
      </c>
      <c r="F3" s="40" t="s">
        <v>75</v>
      </c>
      <c r="G3" s="40" t="s">
        <v>76</v>
      </c>
      <c r="H3" s="43" t="s">
        <v>80</v>
      </c>
      <c r="I3" s="43" t="s">
        <v>84</v>
      </c>
      <c r="J3" s="43" t="s">
        <v>85</v>
      </c>
      <c r="K3" s="43" t="s">
        <v>86</v>
      </c>
      <c r="L3" s="43" t="s">
        <v>87</v>
      </c>
      <c r="M3" s="43" t="s">
        <v>88</v>
      </c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spans="1:27" ht="15.75" customHeight="1" x14ac:dyDescent="0.1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27" ht="15.75" customHeight="1" x14ac:dyDescent="0.15">
      <c r="A5" s="47" t="s">
        <v>89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spans="1:27" ht="15.75" customHeight="1" x14ac:dyDescent="0.15">
      <c r="A6" s="44" t="s">
        <v>90</v>
      </c>
      <c r="B6" s="49">
        <v>5000</v>
      </c>
      <c r="C6" s="49">
        <f t="shared" ref="C6:M6" si="0">B6</f>
        <v>5000</v>
      </c>
      <c r="D6" s="49">
        <f t="shared" si="0"/>
        <v>5000</v>
      </c>
      <c r="E6" s="49">
        <f t="shared" si="0"/>
        <v>5000</v>
      </c>
      <c r="F6" s="49">
        <f t="shared" si="0"/>
        <v>5000</v>
      </c>
      <c r="G6" s="49">
        <f t="shared" si="0"/>
        <v>5000</v>
      </c>
      <c r="H6" s="49">
        <f t="shared" si="0"/>
        <v>5000</v>
      </c>
      <c r="I6" s="49">
        <f t="shared" si="0"/>
        <v>5000</v>
      </c>
      <c r="J6" s="49">
        <f t="shared" si="0"/>
        <v>5000</v>
      </c>
      <c r="K6" s="49">
        <f t="shared" si="0"/>
        <v>5000</v>
      </c>
      <c r="L6" s="49">
        <f t="shared" si="0"/>
        <v>5000</v>
      </c>
      <c r="M6" s="49">
        <f t="shared" si="0"/>
        <v>5000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spans="1:27" ht="15.75" customHeight="1" x14ac:dyDescent="0.15">
      <c r="A7" s="44" t="s">
        <v>91</v>
      </c>
      <c r="B7" s="50">
        <v>50</v>
      </c>
      <c r="C7" s="50">
        <f t="shared" ref="C7:M7" si="1">B7</f>
        <v>50</v>
      </c>
      <c r="D7" s="50">
        <f t="shared" si="1"/>
        <v>50</v>
      </c>
      <c r="E7" s="50">
        <f t="shared" si="1"/>
        <v>50</v>
      </c>
      <c r="F7" s="50">
        <f t="shared" si="1"/>
        <v>50</v>
      </c>
      <c r="G7" s="50">
        <f t="shared" si="1"/>
        <v>50</v>
      </c>
      <c r="H7" s="50">
        <f t="shared" si="1"/>
        <v>50</v>
      </c>
      <c r="I7" s="50">
        <f t="shared" si="1"/>
        <v>50</v>
      </c>
      <c r="J7" s="50">
        <f t="shared" si="1"/>
        <v>50</v>
      </c>
      <c r="K7" s="50">
        <f t="shared" si="1"/>
        <v>50</v>
      </c>
      <c r="L7" s="50">
        <f t="shared" si="1"/>
        <v>50</v>
      </c>
      <c r="M7" s="50">
        <f t="shared" si="1"/>
        <v>50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ht="15.75" customHeight="1" x14ac:dyDescent="0.15">
      <c r="A8" s="44" t="s">
        <v>92</v>
      </c>
      <c r="B8" s="51">
        <f>B6/B7</f>
        <v>100</v>
      </c>
      <c r="C8" s="51">
        <f t="shared" ref="C8:M8" si="2">B8</f>
        <v>100</v>
      </c>
      <c r="D8" s="51">
        <f t="shared" si="2"/>
        <v>100</v>
      </c>
      <c r="E8" s="51">
        <f t="shared" si="2"/>
        <v>100</v>
      </c>
      <c r="F8" s="51">
        <f t="shared" si="2"/>
        <v>100</v>
      </c>
      <c r="G8" s="51">
        <f t="shared" si="2"/>
        <v>100</v>
      </c>
      <c r="H8" s="51">
        <f t="shared" si="2"/>
        <v>100</v>
      </c>
      <c r="I8" s="51">
        <f t="shared" si="2"/>
        <v>100</v>
      </c>
      <c r="J8" s="51">
        <f t="shared" si="2"/>
        <v>100</v>
      </c>
      <c r="K8" s="51">
        <f t="shared" si="2"/>
        <v>100</v>
      </c>
      <c r="L8" s="51">
        <f t="shared" si="2"/>
        <v>100</v>
      </c>
      <c r="M8" s="51">
        <f t="shared" si="2"/>
        <v>100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ht="15.75" customHeight="1" x14ac:dyDescent="0.15">
      <c r="A9" s="44" t="s">
        <v>93</v>
      </c>
      <c r="B9" s="50">
        <v>200</v>
      </c>
      <c r="C9" s="50">
        <f t="shared" ref="C9:M9" si="3">B9</f>
        <v>200</v>
      </c>
      <c r="D9" s="50">
        <f t="shared" si="3"/>
        <v>200</v>
      </c>
      <c r="E9" s="50">
        <f t="shared" si="3"/>
        <v>200</v>
      </c>
      <c r="F9" s="50">
        <f t="shared" si="3"/>
        <v>200</v>
      </c>
      <c r="G9" s="50">
        <f t="shared" si="3"/>
        <v>200</v>
      </c>
      <c r="H9" s="50">
        <f t="shared" si="3"/>
        <v>200</v>
      </c>
      <c r="I9" s="50">
        <f t="shared" si="3"/>
        <v>200</v>
      </c>
      <c r="J9" s="50">
        <f t="shared" si="3"/>
        <v>200</v>
      </c>
      <c r="K9" s="50">
        <f t="shared" si="3"/>
        <v>200</v>
      </c>
      <c r="L9" s="50">
        <f t="shared" si="3"/>
        <v>200</v>
      </c>
      <c r="M9" s="50">
        <f t="shared" si="3"/>
        <v>200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27" ht="15.75" customHeight="1" x14ac:dyDescent="0.15">
      <c r="A10" s="44" t="s">
        <v>94</v>
      </c>
      <c r="B10" s="52">
        <v>1</v>
      </c>
      <c r="C10" s="52">
        <f t="shared" ref="C10:M10" si="4">B10</f>
        <v>1</v>
      </c>
      <c r="D10" s="52">
        <f t="shared" si="4"/>
        <v>1</v>
      </c>
      <c r="E10" s="52">
        <f t="shared" si="4"/>
        <v>1</v>
      </c>
      <c r="F10" s="52">
        <f t="shared" si="4"/>
        <v>1</v>
      </c>
      <c r="G10" s="52">
        <f t="shared" si="4"/>
        <v>1</v>
      </c>
      <c r="H10" s="52">
        <f t="shared" si="4"/>
        <v>1</v>
      </c>
      <c r="I10" s="52">
        <f t="shared" si="4"/>
        <v>1</v>
      </c>
      <c r="J10" s="52">
        <f t="shared" si="4"/>
        <v>1</v>
      </c>
      <c r="K10" s="52">
        <f t="shared" si="4"/>
        <v>1</v>
      </c>
      <c r="L10" s="52">
        <f t="shared" si="4"/>
        <v>1</v>
      </c>
      <c r="M10" s="52">
        <f t="shared" si="4"/>
        <v>1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27" ht="15.75" customHeight="1" x14ac:dyDescent="0.15">
      <c r="A11" s="48" t="s">
        <v>95</v>
      </c>
      <c r="B11" s="53">
        <f t="shared" ref="B11:M11" si="5">B9*B8*B10</f>
        <v>20000</v>
      </c>
      <c r="C11" s="53">
        <f t="shared" si="5"/>
        <v>20000</v>
      </c>
      <c r="D11" s="53">
        <f t="shared" si="5"/>
        <v>20000</v>
      </c>
      <c r="E11" s="53">
        <f t="shared" si="5"/>
        <v>20000</v>
      </c>
      <c r="F11" s="53">
        <f t="shared" si="5"/>
        <v>20000</v>
      </c>
      <c r="G11" s="53">
        <f t="shared" si="5"/>
        <v>20000</v>
      </c>
      <c r="H11" s="53">
        <f t="shared" si="5"/>
        <v>20000</v>
      </c>
      <c r="I11" s="53">
        <f t="shared" si="5"/>
        <v>20000</v>
      </c>
      <c r="J11" s="53">
        <f t="shared" si="5"/>
        <v>20000</v>
      </c>
      <c r="K11" s="53">
        <f t="shared" si="5"/>
        <v>20000</v>
      </c>
      <c r="L11" s="53">
        <f t="shared" si="5"/>
        <v>20000</v>
      </c>
      <c r="M11" s="53">
        <f t="shared" si="5"/>
        <v>20000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ht="15.75" customHeight="1" x14ac:dyDescent="0.1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ht="15.75" customHeight="1" x14ac:dyDescent="0.15">
      <c r="A13" s="47" t="s">
        <v>96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ht="15.75" customHeight="1" x14ac:dyDescent="0.15">
      <c r="A14" s="40" t="s">
        <v>71</v>
      </c>
      <c r="B14" s="54">
        <v>0.1</v>
      </c>
      <c r="C14" s="54">
        <f t="shared" ref="C14:M14" si="6">B14</f>
        <v>0.1</v>
      </c>
      <c r="D14" s="54">
        <f t="shared" si="6"/>
        <v>0.1</v>
      </c>
      <c r="E14" s="54">
        <f t="shared" si="6"/>
        <v>0.1</v>
      </c>
      <c r="F14" s="54">
        <f t="shared" si="6"/>
        <v>0.1</v>
      </c>
      <c r="G14" s="54">
        <f t="shared" si="6"/>
        <v>0.1</v>
      </c>
      <c r="H14" s="54">
        <f t="shared" si="6"/>
        <v>0.1</v>
      </c>
      <c r="I14" s="54">
        <f t="shared" si="6"/>
        <v>0.1</v>
      </c>
      <c r="J14" s="54">
        <f t="shared" si="6"/>
        <v>0.1</v>
      </c>
      <c r="K14" s="54">
        <f t="shared" si="6"/>
        <v>0.1</v>
      </c>
      <c r="L14" s="54">
        <f t="shared" si="6"/>
        <v>0.1</v>
      </c>
      <c r="M14" s="54">
        <f t="shared" si="6"/>
        <v>0.1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27" ht="15.75" customHeight="1" x14ac:dyDescent="0.15">
      <c r="A15" s="40" t="s">
        <v>72</v>
      </c>
      <c r="B15" s="54">
        <f t="shared" ref="B15:B21" si="7">B14-1%</f>
        <v>9.0000000000000011E-2</v>
      </c>
      <c r="C15" s="54">
        <f t="shared" ref="C15:M15" si="8">B15</f>
        <v>9.0000000000000011E-2</v>
      </c>
      <c r="D15" s="54">
        <f t="shared" si="8"/>
        <v>9.0000000000000011E-2</v>
      </c>
      <c r="E15" s="54">
        <f t="shared" si="8"/>
        <v>9.0000000000000011E-2</v>
      </c>
      <c r="F15" s="54">
        <f t="shared" si="8"/>
        <v>9.0000000000000011E-2</v>
      </c>
      <c r="G15" s="54">
        <f t="shared" si="8"/>
        <v>9.0000000000000011E-2</v>
      </c>
      <c r="H15" s="54">
        <f t="shared" si="8"/>
        <v>9.0000000000000011E-2</v>
      </c>
      <c r="I15" s="54">
        <f t="shared" si="8"/>
        <v>9.0000000000000011E-2</v>
      </c>
      <c r="J15" s="54">
        <f t="shared" si="8"/>
        <v>9.0000000000000011E-2</v>
      </c>
      <c r="K15" s="54">
        <f t="shared" si="8"/>
        <v>9.0000000000000011E-2</v>
      </c>
      <c r="L15" s="54">
        <f t="shared" si="8"/>
        <v>9.0000000000000011E-2</v>
      </c>
      <c r="M15" s="54">
        <f t="shared" si="8"/>
        <v>9.0000000000000011E-2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27" ht="15.75" customHeight="1" x14ac:dyDescent="0.15">
      <c r="A16" s="40" t="s">
        <v>73</v>
      </c>
      <c r="B16" s="54">
        <f t="shared" si="7"/>
        <v>8.0000000000000016E-2</v>
      </c>
      <c r="C16" s="54">
        <f t="shared" ref="C16:M16" si="9">B16</f>
        <v>8.0000000000000016E-2</v>
      </c>
      <c r="D16" s="54">
        <f t="shared" si="9"/>
        <v>8.0000000000000016E-2</v>
      </c>
      <c r="E16" s="54">
        <f t="shared" si="9"/>
        <v>8.0000000000000016E-2</v>
      </c>
      <c r="F16" s="54">
        <f t="shared" si="9"/>
        <v>8.0000000000000016E-2</v>
      </c>
      <c r="G16" s="54">
        <f t="shared" si="9"/>
        <v>8.0000000000000016E-2</v>
      </c>
      <c r="H16" s="54">
        <f t="shared" si="9"/>
        <v>8.0000000000000016E-2</v>
      </c>
      <c r="I16" s="54">
        <f t="shared" si="9"/>
        <v>8.0000000000000016E-2</v>
      </c>
      <c r="J16" s="54">
        <f t="shared" si="9"/>
        <v>8.0000000000000016E-2</v>
      </c>
      <c r="K16" s="54">
        <f t="shared" si="9"/>
        <v>8.0000000000000016E-2</v>
      </c>
      <c r="L16" s="54">
        <f t="shared" si="9"/>
        <v>8.0000000000000016E-2</v>
      </c>
      <c r="M16" s="54">
        <f t="shared" si="9"/>
        <v>8.0000000000000016E-2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1:27" ht="15.75" customHeight="1" x14ac:dyDescent="0.15">
      <c r="A17" s="40" t="s">
        <v>74</v>
      </c>
      <c r="B17" s="54">
        <f t="shared" si="7"/>
        <v>7.0000000000000021E-2</v>
      </c>
      <c r="C17" s="54">
        <f t="shared" ref="C17:M17" si="10">B17</f>
        <v>7.0000000000000021E-2</v>
      </c>
      <c r="D17" s="54">
        <f t="shared" si="10"/>
        <v>7.0000000000000021E-2</v>
      </c>
      <c r="E17" s="54">
        <f t="shared" si="10"/>
        <v>7.0000000000000021E-2</v>
      </c>
      <c r="F17" s="54">
        <f t="shared" si="10"/>
        <v>7.0000000000000021E-2</v>
      </c>
      <c r="G17" s="54">
        <f t="shared" si="10"/>
        <v>7.0000000000000021E-2</v>
      </c>
      <c r="H17" s="54">
        <f t="shared" si="10"/>
        <v>7.0000000000000021E-2</v>
      </c>
      <c r="I17" s="54">
        <f t="shared" si="10"/>
        <v>7.0000000000000021E-2</v>
      </c>
      <c r="J17" s="54">
        <f t="shared" si="10"/>
        <v>7.0000000000000021E-2</v>
      </c>
      <c r="K17" s="54">
        <f t="shared" si="10"/>
        <v>7.0000000000000021E-2</v>
      </c>
      <c r="L17" s="54">
        <f t="shared" si="10"/>
        <v>7.0000000000000021E-2</v>
      </c>
      <c r="M17" s="54">
        <f t="shared" si="10"/>
        <v>7.0000000000000021E-2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spans="1:27" ht="15.75" customHeight="1" x14ac:dyDescent="0.15">
      <c r="A18" s="40" t="s">
        <v>75</v>
      </c>
      <c r="B18" s="54">
        <f t="shared" si="7"/>
        <v>6.0000000000000019E-2</v>
      </c>
      <c r="C18" s="54">
        <f t="shared" ref="C18:M18" si="11">B18</f>
        <v>6.0000000000000019E-2</v>
      </c>
      <c r="D18" s="54">
        <f t="shared" si="11"/>
        <v>6.0000000000000019E-2</v>
      </c>
      <c r="E18" s="54">
        <f t="shared" si="11"/>
        <v>6.0000000000000019E-2</v>
      </c>
      <c r="F18" s="54">
        <f t="shared" si="11"/>
        <v>6.0000000000000019E-2</v>
      </c>
      <c r="G18" s="54">
        <f t="shared" si="11"/>
        <v>6.0000000000000019E-2</v>
      </c>
      <c r="H18" s="54">
        <f t="shared" si="11"/>
        <v>6.0000000000000019E-2</v>
      </c>
      <c r="I18" s="54">
        <f t="shared" si="11"/>
        <v>6.0000000000000019E-2</v>
      </c>
      <c r="J18" s="54">
        <f t="shared" si="11"/>
        <v>6.0000000000000019E-2</v>
      </c>
      <c r="K18" s="54">
        <f t="shared" si="11"/>
        <v>6.0000000000000019E-2</v>
      </c>
      <c r="L18" s="54">
        <f t="shared" si="11"/>
        <v>6.0000000000000019E-2</v>
      </c>
      <c r="M18" s="54">
        <f t="shared" si="11"/>
        <v>6.0000000000000019E-2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spans="1:27" ht="15.75" customHeight="1" x14ac:dyDescent="0.15">
      <c r="A19" s="40" t="s">
        <v>76</v>
      </c>
      <c r="B19" s="54">
        <f t="shared" si="7"/>
        <v>5.0000000000000017E-2</v>
      </c>
      <c r="C19" s="54">
        <f t="shared" ref="C19:M19" si="12">B19</f>
        <v>5.0000000000000017E-2</v>
      </c>
      <c r="D19" s="54">
        <f t="shared" si="12"/>
        <v>5.0000000000000017E-2</v>
      </c>
      <c r="E19" s="54">
        <f t="shared" si="12"/>
        <v>5.0000000000000017E-2</v>
      </c>
      <c r="F19" s="54">
        <f t="shared" si="12"/>
        <v>5.0000000000000017E-2</v>
      </c>
      <c r="G19" s="54">
        <f t="shared" si="12"/>
        <v>5.0000000000000017E-2</v>
      </c>
      <c r="H19" s="54">
        <f t="shared" si="12"/>
        <v>5.0000000000000017E-2</v>
      </c>
      <c r="I19" s="54">
        <f t="shared" si="12"/>
        <v>5.0000000000000017E-2</v>
      </c>
      <c r="J19" s="54">
        <f t="shared" si="12"/>
        <v>5.0000000000000017E-2</v>
      </c>
      <c r="K19" s="54">
        <f t="shared" si="12"/>
        <v>5.0000000000000017E-2</v>
      </c>
      <c r="L19" s="54">
        <f t="shared" si="12"/>
        <v>5.0000000000000017E-2</v>
      </c>
      <c r="M19" s="54">
        <f t="shared" si="12"/>
        <v>5.0000000000000017E-2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1:27" ht="15.75" customHeight="1" x14ac:dyDescent="0.15">
      <c r="A20" s="43" t="s">
        <v>80</v>
      </c>
      <c r="B20" s="54">
        <f t="shared" si="7"/>
        <v>4.0000000000000015E-2</v>
      </c>
      <c r="C20" s="54">
        <f t="shared" ref="C20:M20" si="13">B20</f>
        <v>4.0000000000000015E-2</v>
      </c>
      <c r="D20" s="54">
        <f t="shared" si="13"/>
        <v>4.0000000000000015E-2</v>
      </c>
      <c r="E20" s="54">
        <f t="shared" si="13"/>
        <v>4.0000000000000015E-2</v>
      </c>
      <c r="F20" s="54">
        <f t="shared" si="13"/>
        <v>4.0000000000000015E-2</v>
      </c>
      <c r="G20" s="54">
        <f t="shared" si="13"/>
        <v>4.0000000000000015E-2</v>
      </c>
      <c r="H20" s="54">
        <f t="shared" si="13"/>
        <v>4.0000000000000015E-2</v>
      </c>
      <c r="I20" s="54">
        <f t="shared" si="13"/>
        <v>4.0000000000000015E-2</v>
      </c>
      <c r="J20" s="54">
        <f t="shared" si="13"/>
        <v>4.0000000000000015E-2</v>
      </c>
      <c r="K20" s="54">
        <f t="shared" si="13"/>
        <v>4.0000000000000015E-2</v>
      </c>
      <c r="L20" s="54">
        <f t="shared" si="13"/>
        <v>4.0000000000000015E-2</v>
      </c>
      <c r="M20" s="54">
        <f t="shared" si="13"/>
        <v>4.0000000000000015E-2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spans="1:27" ht="15.75" customHeight="1" x14ac:dyDescent="0.15">
      <c r="A21" s="43" t="s">
        <v>84</v>
      </c>
      <c r="B21" s="54">
        <f t="shared" si="7"/>
        <v>3.0000000000000013E-2</v>
      </c>
      <c r="C21" s="54">
        <f t="shared" ref="C21:M21" si="14">B21</f>
        <v>3.0000000000000013E-2</v>
      </c>
      <c r="D21" s="54">
        <f t="shared" si="14"/>
        <v>3.0000000000000013E-2</v>
      </c>
      <c r="E21" s="54">
        <f t="shared" si="14"/>
        <v>3.0000000000000013E-2</v>
      </c>
      <c r="F21" s="54">
        <f t="shared" si="14"/>
        <v>3.0000000000000013E-2</v>
      </c>
      <c r="G21" s="54">
        <f t="shared" si="14"/>
        <v>3.0000000000000013E-2</v>
      </c>
      <c r="H21" s="54">
        <f t="shared" si="14"/>
        <v>3.0000000000000013E-2</v>
      </c>
      <c r="I21" s="54">
        <f t="shared" si="14"/>
        <v>3.0000000000000013E-2</v>
      </c>
      <c r="J21" s="54">
        <f t="shared" si="14"/>
        <v>3.0000000000000013E-2</v>
      </c>
      <c r="K21" s="54">
        <f t="shared" si="14"/>
        <v>3.0000000000000013E-2</v>
      </c>
      <c r="L21" s="54">
        <f t="shared" si="14"/>
        <v>3.0000000000000013E-2</v>
      </c>
      <c r="M21" s="54">
        <f t="shared" si="14"/>
        <v>3.0000000000000013E-2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27" ht="15.75" customHeight="1" x14ac:dyDescent="0.15">
      <c r="A22" s="43" t="s">
        <v>85</v>
      </c>
      <c r="B22" s="54">
        <f t="shared" ref="B22:B25" si="15">B21</f>
        <v>3.0000000000000013E-2</v>
      </c>
      <c r="C22" s="54">
        <f t="shared" ref="C22:M22" si="16">B22</f>
        <v>3.0000000000000013E-2</v>
      </c>
      <c r="D22" s="54">
        <f t="shared" si="16"/>
        <v>3.0000000000000013E-2</v>
      </c>
      <c r="E22" s="54">
        <f t="shared" si="16"/>
        <v>3.0000000000000013E-2</v>
      </c>
      <c r="F22" s="54">
        <f t="shared" si="16"/>
        <v>3.0000000000000013E-2</v>
      </c>
      <c r="G22" s="54">
        <f t="shared" si="16"/>
        <v>3.0000000000000013E-2</v>
      </c>
      <c r="H22" s="54">
        <f t="shared" si="16"/>
        <v>3.0000000000000013E-2</v>
      </c>
      <c r="I22" s="54">
        <f t="shared" si="16"/>
        <v>3.0000000000000013E-2</v>
      </c>
      <c r="J22" s="54">
        <f t="shared" si="16"/>
        <v>3.0000000000000013E-2</v>
      </c>
      <c r="K22" s="54">
        <f t="shared" si="16"/>
        <v>3.0000000000000013E-2</v>
      </c>
      <c r="L22" s="54">
        <f t="shared" si="16"/>
        <v>3.0000000000000013E-2</v>
      </c>
      <c r="M22" s="54">
        <f t="shared" si="16"/>
        <v>3.0000000000000013E-2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spans="1:27" ht="15.75" customHeight="1" x14ac:dyDescent="0.15">
      <c r="A23" s="43" t="s">
        <v>86</v>
      </c>
      <c r="B23" s="54">
        <f t="shared" si="15"/>
        <v>3.0000000000000013E-2</v>
      </c>
      <c r="C23" s="54">
        <f t="shared" ref="C23:M23" si="17">B23</f>
        <v>3.0000000000000013E-2</v>
      </c>
      <c r="D23" s="54">
        <f t="shared" si="17"/>
        <v>3.0000000000000013E-2</v>
      </c>
      <c r="E23" s="54">
        <f t="shared" si="17"/>
        <v>3.0000000000000013E-2</v>
      </c>
      <c r="F23" s="54">
        <f t="shared" si="17"/>
        <v>3.0000000000000013E-2</v>
      </c>
      <c r="G23" s="54">
        <f t="shared" si="17"/>
        <v>3.0000000000000013E-2</v>
      </c>
      <c r="H23" s="54">
        <f t="shared" si="17"/>
        <v>3.0000000000000013E-2</v>
      </c>
      <c r="I23" s="54">
        <f t="shared" si="17"/>
        <v>3.0000000000000013E-2</v>
      </c>
      <c r="J23" s="54">
        <f t="shared" si="17"/>
        <v>3.0000000000000013E-2</v>
      </c>
      <c r="K23" s="54">
        <f t="shared" si="17"/>
        <v>3.0000000000000013E-2</v>
      </c>
      <c r="L23" s="54">
        <f t="shared" si="17"/>
        <v>3.0000000000000013E-2</v>
      </c>
      <c r="M23" s="54">
        <f t="shared" si="17"/>
        <v>3.0000000000000013E-2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27" ht="15.75" customHeight="1" x14ac:dyDescent="0.15">
      <c r="A24" s="43" t="s">
        <v>87</v>
      </c>
      <c r="B24" s="54">
        <f t="shared" si="15"/>
        <v>3.0000000000000013E-2</v>
      </c>
      <c r="C24" s="54">
        <f t="shared" ref="C24:M24" si="18">B24</f>
        <v>3.0000000000000013E-2</v>
      </c>
      <c r="D24" s="54">
        <f t="shared" si="18"/>
        <v>3.0000000000000013E-2</v>
      </c>
      <c r="E24" s="54">
        <f t="shared" si="18"/>
        <v>3.0000000000000013E-2</v>
      </c>
      <c r="F24" s="54">
        <f t="shared" si="18"/>
        <v>3.0000000000000013E-2</v>
      </c>
      <c r="G24" s="54">
        <f t="shared" si="18"/>
        <v>3.0000000000000013E-2</v>
      </c>
      <c r="H24" s="54">
        <f t="shared" si="18"/>
        <v>3.0000000000000013E-2</v>
      </c>
      <c r="I24" s="54">
        <f t="shared" si="18"/>
        <v>3.0000000000000013E-2</v>
      </c>
      <c r="J24" s="54">
        <f t="shared" si="18"/>
        <v>3.0000000000000013E-2</v>
      </c>
      <c r="K24" s="54">
        <f t="shared" si="18"/>
        <v>3.0000000000000013E-2</v>
      </c>
      <c r="L24" s="54">
        <f t="shared" si="18"/>
        <v>3.0000000000000013E-2</v>
      </c>
      <c r="M24" s="54">
        <f t="shared" si="18"/>
        <v>3.0000000000000013E-2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27" ht="15.75" customHeight="1" x14ac:dyDescent="0.15">
      <c r="A25" s="43" t="s">
        <v>88</v>
      </c>
      <c r="B25" s="54">
        <f t="shared" si="15"/>
        <v>3.0000000000000013E-2</v>
      </c>
      <c r="C25" s="54">
        <f t="shared" ref="C25:M25" si="19">B25</f>
        <v>3.0000000000000013E-2</v>
      </c>
      <c r="D25" s="54">
        <f t="shared" si="19"/>
        <v>3.0000000000000013E-2</v>
      </c>
      <c r="E25" s="54">
        <f t="shared" si="19"/>
        <v>3.0000000000000013E-2</v>
      </c>
      <c r="F25" s="54">
        <f t="shared" si="19"/>
        <v>3.0000000000000013E-2</v>
      </c>
      <c r="G25" s="54">
        <f t="shared" si="19"/>
        <v>3.0000000000000013E-2</v>
      </c>
      <c r="H25" s="54">
        <f t="shared" si="19"/>
        <v>3.0000000000000013E-2</v>
      </c>
      <c r="I25" s="54">
        <f t="shared" si="19"/>
        <v>3.0000000000000013E-2</v>
      </c>
      <c r="J25" s="54">
        <f t="shared" si="19"/>
        <v>3.0000000000000013E-2</v>
      </c>
      <c r="K25" s="54">
        <f t="shared" si="19"/>
        <v>3.0000000000000013E-2</v>
      </c>
      <c r="L25" s="54">
        <f t="shared" si="19"/>
        <v>3.0000000000000013E-2</v>
      </c>
      <c r="M25" s="54">
        <f t="shared" si="19"/>
        <v>3.0000000000000013E-2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27" ht="15.75" customHeight="1" x14ac:dyDescent="0.15">
      <c r="A26" s="44"/>
      <c r="B26" s="5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27" ht="15.75" customHeight="1" x14ac:dyDescent="0.15">
      <c r="A27" s="44" t="s">
        <v>97</v>
      </c>
      <c r="B27" s="44">
        <f>ROUND(B8*B14,0)</f>
        <v>10</v>
      </c>
      <c r="C27" s="44">
        <f>ROUND(C8*C14+B15*B8,0)</f>
        <v>19</v>
      </c>
      <c r="D27" s="44">
        <f>ROUND(D8*D14+C15*C8+B8*B16,0)</f>
        <v>27</v>
      </c>
      <c r="E27" s="44">
        <f>ROUND(E8*E14+D15*D8+C8*C16+B8*B17,0)</f>
        <v>34</v>
      </c>
      <c r="F27" s="44">
        <f>ROUND(F8*F14+E15*E8+D8*D16+C8*C17+B8*B18,0)</f>
        <v>40</v>
      </c>
      <c r="G27" s="44">
        <f>ROUND(G8*G14+F15*F8+E8*E16+D8*D17+C8*C18+B8*B19,0)</f>
        <v>45</v>
      </c>
      <c r="H27" s="44">
        <f>ROUND(H8*H14+G15*G8+F8*F16+E8*E17+D8*D18+C8*C19+B8*B20,0)</f>
        <v>49</v>
      </c>
      <c r="I27" s="44">
        <f>ROUND(I8*I14+H15*H8+G8*G16+F8*F17+E8*E18+D8*D19+C8*C20+B8*B21,0)</f>
        <v>52</v>
      </c>
      <c r="J27" s="44">
        <f>ROUND(J8*J14+I15*I8+H8*H16+G8*G17+F8*F18+E8*E19+D8*D20+C8*C21+B8*B22,0)</f>
        <v>55</v>
      </c>
      <c r="K27" s="44">
        <f>ROUND(K8*K14+J15*J8+I8*I16+H8*H17+G8*G18+F8*F19+E8*E20+D8*D21+C8*C22+B8*B23,0)</f>
        <v>58</v>
      </c>
      <c r="L27" s="44">
        <f>ROUND(L8*L14+K15*K8+J8*J16+I8*I17+H8*H18+G8*G19+F8*F20+E8*E21+D8*D22+C8*C23+B8*B24,0)</f>
        <v>61</v>
      </c>
      <c r="M27" s="44">
        <f>ROUND(M8*M14+L15*L8+K8*K16+J8*J17+I8*I18+H8*H19+G8*G20+F8*F21+E8*E22+D8*D23+C8*C24+B8*B25,0)</f>
        <v>64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27" ht="15.75" customHeight="1" x14ac:dyDescent="0.15">
      <c r="A28" s="44" t="s">
        <v>93</v>
      </c>
      <c r="B28" s="50">
        <v>220</v>
      </c>
      <c r="C28" s="50">
        <f t="shared" ref="C28:M28" si="20">B28</f>
        <v>220</v>
      </c>
      <c r="D28" s="50">
        <f t="shared" si="20"/>
        <v>220</v>
      </c>
      <c r="E28" s="50">
        <f t="shared" si="20"/>
        <v>220</v>
      </c>
      <c r="F28" s="50">
        <f t="shared" si="20"/>
        <v>220</v>
      </c>
      <c r="G28" s="50">
        <f t="shared" si="20"/>
        <v>220</v>
      </c>
      <c r="H28" s="50">
        <f t="shared" si="20"/>
        <v>220</v>
      </c>
      <c r="I28" s="50">
        <f t="shared" si="20"/>
        <v>220</v>
      </c>
      <c r="J28" s="50">
        <f t="shared" si="20"/>
        <v>220</v>
      </c>
      <c r="K28" s="50">
        <f t="shared" si="20"/>
        <v>220</v>
      </c>
      <c r="L28" s="50">
        <f t="shared" si="20"/>
        <v>220</v>
      </c>
      <c r="M28" s="50">
        <f t="shared" si="20"/>
        <v>220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27" ht="15.75" customHeight="1" x14ac:dyDescent="0.15">
      <c r="A29" s="44" t="s">
        <v>94</v>
      </c>
      <c r="B29" s="52">
        <v>2</v>
      </c>
      <c r="C29" s="52">
        <f t="shared" ref="C29:M29" si="21">B29</f>
        <v>2</v>
      </c>
      <c r="D29" s="52">
        <f t="shared" si="21"/>
        <v>2</v>
      </c>
      <c r="E29" s="52">
        <f t="shared" si="21"/>
        <v>2</v>
      </c>
      <c r="F29" s="52">
        <f t="shared" si="21"/>
        <v>2</v>
      </c>
      <c r="G29" s="52">
        <f t="shared" si="21"/>
        <v>2</v>
      </c>
      <c r="H29" s="52">
        <f t="shared" si="21"/>
        <v>2</v>
      </c>
      <c r="I29" s="52">
        <f t="shared" si="21"/>
        <v>2</v>
      </c>
      <c r="J29" s="52">
        <f t="shared" si="21"/>
        <v>2</v>
      </c>
      <c r="K29" s="52">
        <f t="shared" si="21"/>
        <v>2</v>
      </c>
      <c r="L29" s="52">
        <f t="shared" si="21"/>
        <v>2</v>
      </c>
      <c r="M29" s="52">
        <f t="shared" si="21"/>
        <v>2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 ht="15.75" customHeight="1" x14ac:dyDescent="0.15">
      <c r="A30" s="48" t="s">
        <v>95</v>
      </c>
      <c r="B30" s="53">
        <f t="shared" ref="B30:M30" si="22">B28*B27*B29</f>
        <v>4400</v>
      </c>
      <c r="C30" s="53">
        <f t="shared" si="22"/>
        <v>8360</v>
      </c>
      <c r="D30" s="53">
        <f t="shared" si="22"/>
        <v>11880</v>
      </c>
      <c r="E30" s="53">
        <f t="shared" si="22"/>
        <v>14960</v>
      </c>
      <c r="F30" s="53">
        <f t="shared" si="22"/>
        <v>17600</v>
      </c>
      <c r="G30" s="53">
        <f t="shared" si="22"/>
        <v>19800</v>
      </c>
      <c r="H30" s="53">
        <f t="shared" si="22"/>
        <v>21560</v>
      </c>
      <c r="I30" s="53">
        <f t="shared" si="22"/>
        <v>22880</v>
      </c>
      <c r="J30" s="53">
        <f t="shared" si="22"/>
        <v>24200</v>
      </c>
      <c r="K30" s="53">
        <f t="shared" si="22"/>
        <v>25520</v>
      </c>
      <c r="L30" s="53">
        <f t="shared" si="22"/>
        <v>26840</v>
      </c>
      <c r="M30" s="53">
        <f t="shared" si="22"/>
        <v>28160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5.75" customHeight="1" x14ac:dyDescent="0.1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 ht="15.75" customHeight="1" x14ac:dyDescent="0.15">
      <c r="A32" s="55" t="s">
        <v>98</v>
      </c>
      <c r="B32" s="56">
        <f t="shared" ref="B32:M32" si="23">B11+B30</f>
        <v>24400</v>
      </c>
      <c r="C32" s="56">
        <f t="shared" si="23"/>
        <v>28360</v>
      </c>
      <c r="D32" s="56">
        <f t="shared" si="23"/>
        <v>31880</v>
      </c>
      <c r="E32" s="56">
        <f t="shared" si="23"/>
        <v>34960</v>
      </c>
      <c r="F32" s="56">
        <f t="shared" si="23"/>
        <v>37600</v>
      </c>
      <c r="G32" s="56">
        <f t="shared" si="23"/>
        <v>39800</v>
      </c>
      <c r="H32" s="56">
        <f t="shared" si="23"/>
        <v>41560</v>
      </c>
      <c r="I32" s="56">
        <f t="shared" si="23"/>
        <v>42880</v>
      </c>
      <c r="J32" s="56">
        <f t="shared" si="23"/>
        <v>44200</v>
      </c>
      <c r="K32" s="56">
        <f t="shared" si="23"/>
        <v>45520</v>
      </c>
      <c r="L32" s="56">
        <f t="shared" si="23"/>
        <v>46840</v>
      </c>
      <c r="M32" s="57">
        <f t="shared" si="23"/>
        <v>48160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30" customHeight="1" x14ac:dyDescent="0.1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1:27" ht="15.75" customHeight="1" x14ac:dyDescent="0.15">
      <c r="A34" s="219" t="s">
        <v>99</v>
      </c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</row>
    <row r="35" spans="1:27" ht="15.75" customHeight="1" x14ac:dyDescent="0.15">
      <c r="A35" s="58" t="s">
        <v>100</v>
      </c>
      <c r="B35" s="218" t="s">
        <v>69</v>
      </c>
      <c r="C35" s="213"/>
      <c r="D35" s="213"/>
      <c r="E35" s="218" t="s">
        <v>70</v>
      </c>
      <c r="F35" s="213"/>
      <c r="G35" s="213"/>
      <c r="H35" s="218" t="s">
        <v>82</v>
      </c>
      <c r="I35" s="213"/>
      <c r="J35" s="213"/>
      <c r="K35" s="218" t="s">
        <v>83</v>
      </c>
      <c r="L35" s="213"/>
      <c r="M35" s="213"/>
    </row>
    <row r="36" spans="1:27" ht="15.75" customHeight="1" x14ac:dyDescent="0.15">
      <c r="A36" s="46" t="s">
        <v>68</v>
      </c>
      <c r="B36" s="40" t="s">
        <v>71</v>
      </c>
      <c r="C36" s="40" t="s">
        <v>72</v>
      </c>
      <c r="D36" s="40" t="s">
        <v>73</v>
      </c>
      <c r="E36" s="40" t="s">
        <v>74</v>
      </c>
      <c r="F36" s="40" t="s">
        <v>75</v>
      </c>
      <c r="G36" s="40" t="s">
        <v>76</v>
      </c>
      <c r="H36" s="43" t="s">
        <v>80</v>
      </c>
      <c r="I36" s="43" t="s">
        <v>84</v>
      </c>
      <c r="J36" s="43" t="s">
        <v>85</v>
      </c>
      <c r="K36" s="43" t="s">
        <v>86</v>
      </c>
      <c r="L36" s="43" t="s">
        <v>87</v>
      </c>
      <c r="M36" s="43" t="s">
        <v>88</v>
      </c>
      <c r="O36" s="44" t="s">
        <v>101</v>
      </c>
    </row>
    <row r="37" spans="1:27" ht="15.75" customHeight="1" x14ac:dyDescent="0.15">
      <c r="O37" s="58" t="s">
        <v>102</v>
      </c>
      <c r="P37" s="218" t="s">
        <v>69</v>
      </c>
      <c r="Q37" s="213"/>
      <c r="R37" s="213"/>
      <c r="S37" s="218" t="s">
        <v>70</v>
      </c>
      <c r="T37" s="213"/>
      <c r="U37" s="213"/>
      <c r="V37" s="218" t="s">
        <v>82</v>
      </c>
      <c r="W37" s="213"/>
      <c r="X37" s="213"/>
      <c r="Y37" s="218" t="s">
        <v>83</v>
      </c>
      <c r="Z37" s="213"/>
      <c r="AA37" s="213"/>
    </row>
    <row r="38" spans="1:27" ht="15.75" customHeight="1" x14ac:dyDescent="0.15">
      <c r="A38" s="48" t="s">
        <v>98</v>
      </c>
      <c r="B38" s="53">
        <f t="shared" ref="B38:M38" si="24">B11+B30</f>
        <v>24400</v>
      </c>
      <c r="C38" s="53">
        <f t="shared" si="24"/>
        <v>28360</v>
      </c>
      <c r="D38" s="53">
        <f t="shared" si="24"/>
        <v>31880</v>
      </c>
      <c r="E38" s="53">
        <f t="shared" si="24"/>
        <v>34960</v>
      </c>
      <c r="F38" s="53">
        <f t="shared" si="24"/>
        <v>37600</v>
      </c>
      <c r="G38" s="53">
        <f t="shared" si="24"/>
        <v>39800</v>
      </c>
      <c r="H38" s="53">
        <f t="shared" si="24"/>
        <v>41560</v>
      </c>
      <c r="I38" s="53">
        <f t="shared" si="24"/>
        <v>42880</v>
      </c>
      <c r="J38" s="53">
        <f t="shared" si="24"/>
        <v>44200</v>
      </c>
      <c r="K38" s="53">
        <f t="shared" si="24"/>
        <v>45520</v>
      </c>
      <c r="L38" s="53">
        <f t="shared" si="24"/>
        <v>46840</v>
      </c>
      <c r="M38" s="53">
        <f t="shared" si="24"/>
        <v>48160</v>
      </c>
      <c r="N38" s="44"/>
      <c r="O38" s="46" t="s">
        <v>103</v>
      </c>
      <c r="P38" s="40" t="s">
        <v>71</v>
      </c>
      <c r="Q38" s="40" t="s">
        <v>72</v>
      </c>
      <c r="R38" s="40" t="s">
        <v>73</v>
      </c>
      <c r="S38" s="40" t="s">
        <v>74</v>
      </c>
      <c r="T38" s="40" t="s">
        <v>75</v>
      </c>
      <c r="U38" s="40" t="s">
        <v>76</v>
      </c>
      <c r="V38" s="43" t="s">
        <v>80</v>
      </c>
      <c r="W38" s="43" t="s">
        <v>84</v>
      </c>
      <c r="X38" s="43" t="s">
        <v>85</v>
      </c>
      <c r="Y38" s="43" t="s">
        <v>86</v>
      </c>
      <c r="Z38" s="43" t="s">
        <v>87</v>
      </c>
      <c r="AA38" s="43" t="s">
        <v>88</v>
      </c>
    </row>
    <row r="39" spans="1:27" ht="15.75" customHeight="1" x14ac:dyDescent="0.15">
      <c r="A39" s="44" t="s">
        <v>104</v>
      </c>
      <c r="B39" s="51">
        <f t="shared" ref="B39:M39" si="25">SUM(B40:B42)</f>
        <v>17080</v>
      </c>
      <c r="C39" s="51">
        <f t="shared" si="25"/>
        <v>19852</v>
      </c>
      <c r="D39" s="51">
        <f t="shared" si="25"/>
        <v>22316</v>
      </c>
      <c r="E39" s="51">
        <f t="shared" si="25"/>
        <v>24472</v>
      </c>
      <c r="F39" s="51">
        <f t="shared" si="25"/>
        <v>26320</v>
      </c>
      <c r="G39" s="51">
        <f t="shared" si="25"/>
        <v>27860</v>
      </c>
      <c r="H39" s="51">
        <f t="shared" si="25"/>
        <v>29092</v>
      </c>
      <c r="I39" s="51">
        <f t="shared" si="25"/>
        <v>30016</v>
      </c>
      <c r="J39" s="51">
        <f t="shared" si="25"/>
        <v>30940</v>
      </c>
      <c r="K39" s="51">
        <f t="shared" si="25"/>
        <v>31864</v>
      </c>
      <c r="L39" s="51">
        <f t="shared" si="25"/>
        <v>32787.999999999993</v>
      </c>
      <c r="M39" s="51">
        <f t="shared" si="25"/>
        <v>33712</v>
      </c>
      <c r="N39" s="44"/>
      <c r="O39" s="44" t="s">
        <v>104</v>
      </c>
      <c r="P39" s="54">
        <v>0.7</v>
      </c>
      <c r="Q39" s="54">
        <f t="shared" ref="Q39:AA39" si="26">P39-2%</f>
        <v>0.67999999999999994</v>
      </c>
      <c r="R39" s="54">
        <f t="shared" si="26"/>
        <v>0.65999999999999992</v>
      </c>
      <c r="S39" s="54">
        <f t="shared" si="26"/>
        <v>0.6399999999999999</v>
      </c>
      <c r="T39" s="54">
        <f t="shared" si="26"/>
        <v>0.61999999999999988</v>
      </c>
      <c r="U39" s="54">
        <f t="shared" si="26"/>
        <v>0.59999999999999987</v>
      </c>
      <c r="V39" s="54">
        <f t="shared" si="26"/>
        <v>0.57999999999999985</v>
      </c>
      <c r="W39" s="54">
        <f t="shared" si="26"/>
        <v>0.55999999999999983</v>
      </c>
      <c r="X39" s="54">
        <f t="shared" si="26"/>
        <v>0.53999999999999981</v>
      </c>
      <c r="Y39" s="54">
        <f t="shared" si="26"/>
        <v>0.5199999999999998</v>
      </c>
      <c r="Z39" s="54">
        <f t="shared" si="26"/>
        <v>0.49999999999999978</v>
      </c>
      <c r="AA39" s="54">
        <f t="shared" si="26"/>
        <v>0.47999999999999976</v>
      </c>
    </row>
    <row r="40" spans="1:27" ht="15.75" customHeight="1" x14ac:dyDescent="0.15">
      <c r="A40" s="59" t="s">
        <v>105</v>
      </c>
      <c r="B40" s="60">
        <f t="shared" ref="B40:M40" si="27">P40*B$38*$P$39</f>
        <v>3416</v>
      </c>
      <c r="C40" s="60">
        <f t="shared" si="27"/>
        <v>3970.3999999999996</v>
      </c>
      <c r="D40" s="60">
        <f t="shared" si="27"/>
        <v>4463.2</v>
      </c>
      <c r="E40" s="60">
        <f t="shared" si="27"/>
        <v>4894.3999999999996</v>
      </c>
      <c r="F40" s="60">
        <f t="shared" si="27"/>
        <v>5264</v>
      </c>
      <c r="G40" s="60">
        <f t="shared" si="27"/>
        <v>5572</v>
      </c>
      <c r="H40" s="60">
        <f t="shared" si="27"/>
        <v>5818.4</v>
      </c>
      <c r="I40" s="60">
        <f t="shared" si="27"/>
        <v>6003.2</v>
      </c>
      <c r="J40" s="60">
        <f t="shared" si="27"/>
        <v>6188</v>
      </c>
      <c r="K40" s="60">
        <f t="shared" si="27"/>
        <v>6372.7999999999993</v>
      </c>
      <c r="L40" s="60">
        <f t="shared" si="27"/>
        <v>6557.5999999999995</v>
      </c>
      <c r="M40" s="60">
        <f t="shared" si="27"/>
        <v>6742.4</v>
      </c>
      <c r="N40" s="59"/>
      <c r="O40" s="59" t="s">
        <v>105</v>
      </c>
      <c r="P40" s="54">
        <v>0.2</v>
      </c>
      <c r="Q40" s="54">
        <f t="shared" ref="Q40:AA40" si="28">P40</f>
        <v>0.2</v>
      </c>
      <c r="R40" s="54">
        <f t="shared" si="28"/>
        <v>0.2</v>
      </c>
      <c r="S40" s="54">
        <f t="shared" si="28"/>
        <v>0.2</v>
      </c>
      <c r="T40" s="54">
        <f t="shared" si="28"/>
        <v>0.2</v>
      </c>
      <c r="U40" s="54">
        <f t="shared" si="28"/>
        <v>0.2</v>
      </c>
      <c r="V40" s="54">
        <f t="shared" si="28"/>
        <v>0.2</v>
      </c>
      <c r="W40" s="54">
        <f t="shared" si="28"/>
        <v>0.2</v>
      </c>
      <c r="X40" s="54">
        <f t="shared" si="28"/>
        <v>0.2</v>
      </c>
      <c r="Y40" s="54">
        <f t="shared" si="28"/>
        <v>0.2</v>
      </c>
      <c r="Z40" s="54">
        <f t="shared" si="28"/>
        <v>0.2</v>
      </c>
      <c r="AA40" s="54">
        <f t="shared" si="28"/>
        <v>0.2</v>
      </c>
    </row>
    <row r="41" spans="1:27" ht="15.75" customHeight="1" x14ac:dyDescent="0.15">
      <c r="A41" s="59" t="s">
        <v>106</v>
      </c>
      <c r="B41" s="60">
        <f t="shared" ref="B41:M41" si="29">P41*B$38*$P$39</f>
        <v>8540</v>
      </c>
      <c r="C41" s="60">
        <f t="shared" si="29"/>
        <v>10323.039999999999</v>
      </c>
      <c r="D41" s="60">
        <f t="shared" si="29"/>
        <v>12050.64</v>
      </c>
      <c r="E41" s="60">
        <f t="shared" si="29"/>
        <v>13704.320000000002</v>
      </c>
      <c r="F41" s="60">
        <f t="shared" si="29"/>
        <v>15265.600000000002</v>
      </c>
      <c r="G41" s="60">
        <f t="shared" si="29"/>
        <v>16716</v>
      </c>
      <c r="H41" s="60">
        <f t="shared" si="29"/>
        <v>18037.04</v>
      </c>
      <c r="I41" s="60">
        <f t="shared" si="29"/>
        <v>19210.240000000002</v>
      </c>
      <c r="J41" s="60">
        <f t="shared" si="29"/>
        <v>20420.400000000005</v>
      </c>
      <c r="K41" s="60">
        <f t="shared" si="29"/>
        <v>21667.520000000004</v>
      </c>
      <c r="L41" s="60">
        <f t="shared" si="29"/>
        <v>22951.600000000002</v>
      </c>
      <c r="M41" s="60">
        <f t="shared" si="29"/>
        <v>24272.640000000007</v>
      </c>
      <c r="N41" s="59"/>
      <c r="O41" s="61" t="s">
        <v>106</v>
      </c>
      <c r="P41" s="62">
        <v>0.5</v>
      </c>
      <c r="Q41" s="62">
        <f t="shared" ref="Q41:AA41" si="30">P41+2%</f>
        <v>0.52</v>
      </c>
      <c r="R41" s="62">
        <f t="shared" si="30"/>
        <v>0.54</v>
      </c>
      <c r="S41" s="62">
        <f t="shared" si="30"/>
        <v>0.56000000000000005</v>
      </c>
      <c r="T41" s="62">
        <f t="shared" si="30"/>
        <v>0.58000000000000007</v>
      </c>
      <c r="U41" s="62">
        <f t="shared" si="30"/>
        <v>0.60000000000000009</v>
      </c>
      <c r="V41" s="62">
        <f t="shared" si="30"/>
        <v>0.62000000000000011</v>
      </c>
      <c r="W41" s="62">
        <f t="shared" si="30"/>
        <v>0.64000000000000012</v>
      </c>
      <c r="X41" s="62">
        <f t="shared" si="30"/>
        <v>0.66000000000000014</v>
      </c>
      <c r="Y41" s="62">
        <f t="shared" si="30"/>
        <v>0.68000000000000016</v>
      </c>
      <c r="Z41" s="62">
        <f t="shared" si="30"/>
        <v>0.70000000000000018</v>
      </c>
      <c r="AA41" s="63">
        <f t="shared" si="30"/>
        <v>0.7200000000000002</v>
      </c>
    </row>
    <row r="42" spans="1:27" ht="15.75" customHeight="1" x14ac:dyDescent="0.15">
      <c r="A42" s="59" t="s">
        <v>107</v>
      </c>
      <c r="B42" s="60">
        <f t="shared" ref="B42:M42" si="31">P42*B$38*$P$39</f>
        <v>5124</v>
      </c>
      <c r="C42" s="60">
        <f t="shared" si="31"/>
        <v>5558.56</v>
      </c>
      <c r="D42" s="60">
        <f t="shared" si="31"/>
        <v>5802.1600000000008</v>
      </c>
      <c r="E42" s="60">
        <f t="shared" si="31"/>
        <v>5873.28</v>
      </c>
      <c r="F42" s="60">
        <f t="shared" si="31"/>
        <v>5790.3999999999987</v>
      </c>
      <c r="G42" s="60">
        <f t="shared" si="31"/>
        <v>5571.9999999999982</v>
      </c>
      <c r="H42" s="60">
        <f t="shared" si="31"/>
        <v>5236.5599999999977</v>
      </c>
      <c r="I42" s="60">
        <f t="shared" si="31"/>
        <v>4802.5599999999977</v>
      </c>
      <c r="J42" s="60">
        <f t="shared" si="31"/>
        <v>4331.5999999999967</v>
      </c>
      <c r="K42" s="60">
        <f t="shared" si="31"/>
        <v>3823.6799999999962</v>
      </c>
      <c r="L42" s="60">
        <f t="shared" si="31"/>
        <v>3278.7999999999952</v>
      </c>
      <c r="M42" s="60">
        <f t="shared" si="31"/>
        <v>2696.959999999995</v>
      </c>
      <c r="N42" s="59"/>
      <c r="O42" s="59" t="s">
        <v>107</v>
      </c>
      <c r="P42" s="64">
        <f t="shared" ref="P42:AA42" si="32">1-SUM(P40:P41)</f>
        <v>0.30000000000000004</v>
      </c>
      <c r="Q42" s="64">
        <f t="shared" si="32"/>
        <v>0.28000000000000003</v>
      </c>
      <c r="R42" s="64">
        <f t="shared" si="32"/>
        <v>0.26</v>
      </c>
      <c r="S42" s="64">
        <f t="shared" si="32"/>
        <v>0.24</v>
      </c>
      <c r="T42" s="64">
        <f t="shared" si="32"/>
        <v>0.21999999999999997</v>
      </c>
      <c r="U42" s="64">
        <f t="shared" si="32"/>
        <v>0.19999999999999996</v>
      </c>
      <c r="V42" s="64">
        <f t="shared" si="32"/>
        <v>0.17999999999999994</v>
      </c>
      <c r="W42" s="64">
        <f t="shared" si="32"/>
        <v>0.15999999999999992</v>
      </c>
      <c r="X42" s="64">
        <f t="shared" si="32"/>
        <v>0.1399999999999999</v>
      </c>
      <c r="Y42" s="64">
        <f t="shared" si="32"/>
        <v>0.11999999999999988</v>
      </c>
      <c r="Z42" s="64">
        <f t="shared" si="32"/>
        <v>9.9999999999999867E-2</v>
      </c>
      <c r="AA42" s="64">
        <f t="shared" si="32"/>
        <v>7.9999999999999849E-2</v>
      </c>
    </row>
    <row r="43" spans="1:27" ht="15.75" customHeight="1" x14ac:dyDescent="0.15">
      <c r="A43" s="44" t="s">
        <v>108</v>
      </c>
      <c r="B43" s="51">
        <f t="shared" ref="B43:M43" si="33">SUM(B44:B46)</f>
        <v>7320</v>
      </c>
      <c r="C43" s="51">
        <f t="shared" si="33"/>
        <v>8508</v>
      </c>
      <c r="D43" s="51">
        <f t="shared" si="33"/>
        <v>9564</v>
      </c>
      <c r="E43" s="51">
        <f t="shared" si="33"/>
        <v>10488</v>
      </c>
      <c r="F43" s="51">
        <f t="shared" si="33"/>
        <v>11280</v>
      </c>
      <c r="G43" s="51">
        <f t="shared" si="33"/>
        <v>11940</v>
      </c>
      <c r="H43" s="51">
        <f t="shared" si="33"/>
        <v>12468</v>
      </c>
      <c r="I43" s="51">
        <f t="shared" si="33"/>
        <v>12864</v>
      </c>
      <c r="J43" s="51">
        <f t="shared" si="33"/>
        <v>13260</v>
      </c>
      <c r="K43" s="51">
        <f t="shared" si="33"/>
        <v>13656</v>
      </c>
      <c r="L43" s="51">
        <f t="shared" si="33"/>
        <v>14051.999999999998</v>
      </c>
      <c r="M43" s="51">
        <f t="shared" si="33"/>
        <v>14448</v>
      </c>
      <c r="N43" s="44"/>
      <c r="O43" s="44" t="s">
        <v>108</v>
      </c>
      <c r="P43" s="54">
        <v>0.3</v>
      </c>
      <c r="Q43" s="54">
        <f t="shared" ref="Q43:AA43" si="34">1-Q39</f>
        <v>0.32000000000000006</v>
      </c>
      <c r="R43" s="54">
        <f t="shared" si="34"/>
        <v>0.34000000000000008</v>
      </c>
      <c r="S43" s="54">
        <f t="shared" si="34"/>
        <v>0.3600000000000001</v>
      </c>
      <c r="T43" s="54">
        <f t="shared" si="34"/>
        <v>0.38000000000000012</v>
      </c>
      <c r="U43" s="54">
        <f t="shared" si="34"/>
        <v>0.40000000000000013</v>
      </c>
      <c r="V43" s="54">
        <f t="shared" si="34"/>
        <v>0.42000000000000015</v>
      </c>
      <c r="W43" s="54">
        <f t="shared" si="34"/>
        <v>0.44000000000000017</v>
      </c>
      <c r="X43" s="54">
        <f t="shared" si="34"/>
        <v>0.46000000000000019</v>
      </c>
      <c r="Y43" s="54">
        <f t="shared" si="34"/>
        <v>0.4800000000000002</v>
      </c>
      <c r="Z43" s="54">
        <f t="shared" si="34"/>
        <v>0.50000000000000022</v>
      </c>
      <c r="AA43" s="54">
        <f t="shared" si="34"/>
        <v>0.52000000000000024</v>
      </c>
    </row>
    <row r="44" spans="1:27" ht="15.75" customHeight="1" x14ac:dyDescent="0.15">
      <c r="A44" s="59" t="s">
        <v>105</v>
      </c>
      <c r="B44" s="60">
        <f t="shared" ref="B44:M44" si="35">$P44*B$38*$P$43</f>
        <v>3660</v>
      </c>
      <c r="C44" s="60">
        <f t="shared" si="35"/>
        <v>4254</v>
      </c>
      <c r="D44" s="60">
        <f t="shared" si="35"/>
        <v>4782</v>
      </c>
      <c r="E44" s="60">
        <f t="shared" si="35"/>
        <v>5244</v>
      </c>
      <c r="F44" s="60">
        <f t="shared" si="35"/>
        <v>5640</v>
      </c>
      <c r="G44" s="60">
        <f t="shared" si="35"/>
        <v>5970</v>
      </c>
      <c r="H44" s="60">
        <f t="shared" si="35"/>
        <v>6234</v>
      </c>
      <c r="I44" s="60">
        <f t="shared" si="35"/>
        <v>6432</v>
      </c>
      <c r="J44" s="60">
        <f t="shared" si="35"/>
        <v>6630</v>
      </c>
      <c r="K44" s="60">
        <f t="shared" si="35"/>
        <v>6828</v>
      </c>
      <c r="L44" s="60">
        <f t="shared" si="35"/>
        <v>7026</v>
      </c>
      <c r="M44" s="60">
        <f t="shared" si="35"/>
        <v>7224</v>
      </c>
      <c r="N44" s="59"/>
      <c r="O44" s="61" t="s">
        <v>105</v>
      </c>
      <c r="P44" s="62">
        <v>0.5</v>
      </c>
      <c r="Q44" s="62">
        <f t="shared" ref="Q44:AA44" si="36">P44+1.5%</f>
        <v>0.51500000000000001</v>
      </c>
      <c r="R44" s="62">
        <f t="shared" si="36"/>
        <v>0.53</v>
      </c>
      <c r="S44" s="62">
        <f t="shared" si="36"/>
        <v>0.54500000000000004</v>
      </c>
      <c r="T44" s="62">
        <f t="shared" si="36"/>
        <v>0.56000000000000005</v>
      </c>
      <c r="U44" s="62">
        <f t="shared" si="36"/>
        <v>0.57500000000000007</v>
      </c>
      <c r="V44" s="62">
        <f t="shared" si="36"/>
        <v>0.59000000000000008</v>
      </c>
      <c r="W44" s="62">
        <f t="shared" si="36"/>
        <v>0.60500000000000009</v>
      </c>
      <c r="X44" s="62">
        <f t="shared" si="36"/>
        <v>0.62000000000000011</v>
      </c>
      <c r="Y44" s="62">
        <f t="shared" si="36"/>
        <v>0.63500000000000012</v>
      </c>
      <c r="Z44" s="62">
        <f t="shared" si="36"/>
        <v>0.65000000000000013</v>
      </c>
      <c r="AA44" s="63">
        <f t="shared" si="36"/>
        <v>0.66500000000000015</v>
      </c>
    </row>
    <row r="45" spans="1:27" ht="15.75" customHeight="1" x14ac:dyDescent="0.15">
      <c r="A45" s="59" t="s">
        <v>106</v>
      </c>
      <c r="B45" s="60">
        <f t="shared" ref="B45:M45" si="37">$P45*B$38*$P$43</f>
        <v>2196</v>
      </c>
      <c r="C45" s="60">
        <f t="shared" si="37"/>
        <v>2552.4</v>
      </c>
      <c r="D45" s="60">
        <f t="shared" si="37"/>
        <v>2869.2</v>
      </c>
      <c r="E45" s="60">
        <f t="shared" si="37"/>
        <v>3146.4</v>
      </c>
      <c r="F45" s="60">
        <f t="shared" si="37"/>
        <v>3384</v>
      </c>
      <c r="G45" s="60">
        <f t="shared" si="37"/>
        <v>3582</v>
      </c>
      <c r="H45" s="60">
        <f t="shared" si="37"/>
        <v>3740.3999999999996</v>
      </c>
      <c r="I45" s="60">
        <f t="shared" si="37"/>
        <v>3859.2</v>
      </c>
      <c r="J45" s="60">
        <f t="shared" si="37"/>
        <v>3978</v>
      </c>
      <c r="K45" s="60">
        <f t="shared" si="37"/>
        <v>4096.8</v>
      </c>
      <c r="L45" s="60">
        <f t="shared" si="37"/>
        <v>4215.5999999999995</v>
      </c>
      <c r="M45" s="60">
        <f t="shared" si="37"/>
        <v>4334.3999999999996</v>
      </c>
      <c r="N45" s="59"/>
      <c r="O45" s="59" t="s">
        <v>106</v>
      </c>
      <c r="P45" s="64">
        <v>0.3</v>
      </c>
      <c r="Q45" s="64">
        <f t="shared" ref="Q45:AA45" si="38">P45</f>
        <v>0.3</v>
      </c>
      <c r="R45" s="64">
        <f t="shared" si="38"/>
        <v>0.3</v>
      </c>
      <c r="S45" s="64">
        <f t="shared" si="38"/>
        <v>0.3</v>
      </c>
      <c r="T45" s="64">
        <f t="shared" si="38"/>
        <v>0.3</v>
      </c>
      <c r="U45" s="64">
        <f t="shared" si="38"/>
        <v>0.3</v>
      </c>
      <c r="V45" s="64">
        <f t="shared" si="38"/>
        <v>0.3</v>
      </c>
      <c r="W45" s="64">
        <f t="shared" si="38"/>
        <v>0.3</v>
      </c>
      <c r="X45" s="64">
        <f t="shared" si="38"/>
        <v>0.3</v>
      </c>
      <c r="Y45" s="64">
        <f t="shared" si="38"/>
        <v>0.3</v>
      </c>
      <c r="Z45" s="64">
        <f t="shared" si="38"/>
        <v>0.3</v>
      </c>
      <c r="AA45" s="64">
        <f t="shared" si="38"/>
        <v>0.3</v>
      </c>
    </row>
    <row r="46" spans="1:27" ht="15.75" customHeight="1" x14ac:dyDescent="0.15">
      <c r="A46" s="59" t="s">
        <v>107</v>
      </c>
      <c r="B46" s="60">
        <f t="shared" ref="B46:M46" si="39">$P46*B$38*$P$43</f>
        <v>1464</v>
      </c>
      <c r="C46" s="60">
        <f t="shared" si="39"/>
        <v>1701.6</v>
      </c>
      <c r="D46" s="60">
        <f t="shared" si="39"/>
        <v>1912.8</v>
      </c>
      <c r="E46" s="60">
        <f t="shared" si="39"/>
        <v>2097.6</v>
      </c>
      <c r="F46" s="60">
        <f t="shared" si="39"/>
        <v>2256</v>
      </c>
      <c r="G46" s="60">
        <f t="shared" si="39"/>
        <v>2388</v>
      </c>
      <c r="H46" s="60">
        <f t="shared" si="39"/>
        <v>2493.6</v>
      </c>
      <c r="I46" s="60">
        <f t="shared" si="39"/>
        <v>2572.7999999999997</v>
      </c>
      <c r="J46" s="60">
        <f t="shared" si="39"/>
        <v>2652</v>
      </c>
      <c r="K46" s="60">
        <f t="shared" si="39"/>
        <v>2731.2</v>
      </c>
      <c r="L46" s="60">
        <f t="shared" si="39"/>
        <v>2810.4</v>
      </c>
      <c r="M46" s="60">
        <f t="shared" si="39"/>
        <v>2889.6</v>
      </c>
      <c r="N46" s="59"/>
      <c r="O46" s="59" t="s">
        <v>107</v>
      </c>
      <c r="P46" s="64">
        <v>0.2</v>
      </c>
      <c r="Q46" s="64">
        <f t="shared" ref="Q46:AA46" si="40">1-SUM(Q44:Q45)</f>
        <v>0.18500000000000005</v>
      </c>
      <c r="R46" s="64">
        <f t="shared" si="40"/>
        <v>0.16999999999999993</v>
      </c>
      <c r="S46" s="64">
        <f t="shared" si="40"/>
        <v>0.15500000000000003</v>
      </c>
      <c r="T46" s="64">
        <f t="shared" si="40"/>
        <v>0.1399999999999999</v>
      </c>
      <c r="U46" s="64">
        <f t="shared" si="40"/>
        <v>0.125</v>
      </c>
      <c r="V46" s="64">
        <f t="shared" si="40"/>
        <v>0.10999999999999988</v>
      </c>
      <c r="W46" s="64">
        <f t="shared" si="40"/>
        <v>9.4999999999999973E-2</v>
      </c>
      <c r="X46" s="64">
        <f t="shared" si="40"/>
        <v>7.9999999999999849E-2</v>
      </c>
      <c r="Y46" s="64">
        <f t="shared" si="40"/>
        <v>6.4999999999999947E-2</v>
      </c>
      <c r="Z46" s="64">
        <f t="shared" si="40"/>
        <v>4.9999999999999822E-2</v>
      </c>
      <c r="AA46" s="64">
        <f t="shared" si="40"/>
        <v>3.499999999999992E-2</v>
      </c>
    </row>
    <row r="47" spans="1:27" ht="15.75" customHeight="1" x14ac:dyDescent="0.15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spans="1:27" ht="15.75" customHeight="1" x14ac:dyDescent="0.15">
      <c r="A48" s="48" t="s">
        <v>109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3" t="s">
        <v>110</v>
      </c>
      <c r="P48" s="40" t="s">
        <v>104</v>
      </c>
      <c r="Q48" s="40" t="s">
        <v>108</v>
      </c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1:27" ht="15.75" customHeight="1" x14ac:dyDescent="0.15">
      <c r="A49" s="44" t="s">
        <v>104</v>
      </c>
      <c r="B49" s="54">
        <f>P57</f>
        <v>0.7</v>
      </c>
      <c r="C49" s="54">
        <f t="shared" ref="C49:M49" si="41">B49</f>
        <v>0.7</v>
      </c>
      <c r="D49" s="54">
        <f t="shared" si="41"/>
        <v>0.7</v>
      </c>
      <c r="E49" s="54">
        <f t="shared" si="41"/>
        <v>0.7</v>
      </c>
      <c r="F49" s="54">
        <f t="shared" si="41"/>
        <v>0.7</v>
      </c>
      <c r="G49" s="54">
        <f t="shared" si="41"/>
        <v>0.7</v>
      </c>
      <c r="H49" s="54">
        <f t="shared" si="41"/>
        <v>0.7</v>
      </c>
      <c r="I49" s="54">
        <f t="shared" si="41"/>
        <v>0.7</v>
      </c>
      <c r="J49" s="54">
        <f t="shared" si="41"/>
        <v>0.7</v>
      </c>
      <c r="K49" s="54">
        <f t="shared" si="41"/>
        <v>0.7</v>
      </c>
      <c r="L49" s="54">
        <f t="shared" si="41"/>
        <v>0.7</v>
      </c>
      <c r="M49" s="54">
        <f t="shared" si="41"/>
        <v>0.7</v>
      </c>
      <c r="N49" s="44"/>
      <c r="O49" s="44" t="s">
        <v>111</v>
      </c>
      <c r="P49" s="44">
        <v>200</v>
      </c>
      <c r="Q49" s="44">
        <v>250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spans="1:27" ht="15.75" customHeight="1" x14ac:dyDescent="0.15">
      <c r="A50" s="44" t="s">
        <v>108</v>
      </c>
      <c r="B50" s="54">
        <f>Q57</f>
        <v>0.53333333333333333</v>
      </c>
      <c r="C50" s="54">
        <f t="shared" ref="C50:M50" si="42">B50</f>
        <v>0.53333333333333333</v>
      </c>
      <c r="D50" s="54">
        <f t="shared" si="42"/>
        <v>0.53333333333333333</v>
      </c>
      <c r="E50" s="54">
        <f t="shared" si="42"/>
        <v>0.53333333333333333</v>
      </c>
      <c r="F50" s="54">
        <f t="shared" si="42"/>
        <v>0.53333333333333333</v>
      </c>
      <c r="G50" s="54">
        <f t="shared" si="42"/>
        <v>0.53333333333333333</v>
      </c>
      <c r="H50" s="54">
        <f t="shared" si="42"/>
        <v>0.53333333333333333</v>
      </c>
      <c r="I50" s="54">
        <f t="shared" si="42"/>
        <v>0.53333333333333333</v>
      </c>
      <c r="J50" s="54">
        <f t="shared" si="42"/>
        <v>0.53333333333333333</v>
      </c>
      <c r="K50" s="54">
        <f t="shared" si="42"/>
        <v>0.53333333333333333</v>
      </c>
      <c r="L50" s="54">
        <f t="shared" si="42"/>
        <v>0.53333333333333333</v>
      </c>
      <c r="M50" s="54">
        <f t="shared" si="42"/>
        <v>0.53333333333333333</v>
      </c>
      <c r="N50" s="44"/>
      <c r="O50" s="44" t="s">
        <v>112</v>
      </c>
      <c r="P50" s="44">
        <f t="shared" ref="P50:Q50" si="43">-10%*P49</f>
        <v>-20</v>
      </c>
      <c r="Q50" s="44">
        <f t="shared" si="43"/>
        <v>-25</v>
      </c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spans="1:27" ht="15.75" customHeight="1" x14ac:dyDescent="0.15">
      <c r="A51" s="4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44"/>
      <c r="O51" s="48" t="s">
        <v>17</v>
      </c>
      <c r="P51" s="48">
        <f t="shared" ref="P51:Q51" si="44">P49+P50</f>
        <v>180</v>
      </c>
      <c r="Q51" s="48">
        <f t="shared" si="44"/>
        <v>225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spans="1:27" ht="15.75" customHeight="1" x14ac:dyDescent="0.15">
      <c r="A52" s="48" t="s">
        <v>113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44"/>
      <c r="O52" s="44" t="s">
        <v>114</v>
      </c>
      <c r="P52" s="44">
        <v>-50</v>
      </c>
      <c r="Q52" s="44">
        <v>-100</v>
      </c>
      <c r="R52" s="44" t="s">
        <v>115</v>
      </c>
      <c r="S52" s="44"/>
      <c r="T52" s="44"/>
      <c r="U52" s="44"/>
      <c r="V52" s="44"/>
      <c r="W52" s="44"/>
      <c r="X52" s="44"/>
      <c r="Y52" s="44"/>
      <c r="Z52" s="44"/>
      <c r="AA52" s="44"/>
    </row>
    <row r="53" spans="1:27" ht="15.75" customHeight="1" x14ac:dyDescent="0.15">
      <c r="A53" s="44" t="s">
        <v>104</v>
      </c>
      <c r="B53" s="51">
        <f t="shared" ref="B53:M53" si="45">SUM(B54:B56)</f>
        <v>4611.5999999999985</v>
      </c>
      <c r="C53" s="51">
        <f t="shared" si="45"/>
        <v>5360.0399999999991</v>
      </c>
      <c r="D53" s="51">
        <f t="shared" si="45"/>
        <v>6025.3199999999988</v>
      </c>
      <c r="E53" s="51">
        <f t="shared" si="45"/>
        <v>6607.4399999999987</v>
      </c>
      <c r="F53" s="51">
        <f t="shared" si="45"/>
        <v>7106.3999999999987</v>
      </c>
      <c r="G53" s="51">
        <f t="shared" si="45"/>
        <v>7522.1999999999971</v>
      </c>
      <c r="H53" s="51">
        <f t="shared" si="45"/>
        <v>7854.8399999999983</v>
      </c>
      <c r="I53" s="51">
        <f t="shared" si="45"/>
        <v>8104.3199999999979</v>
      </c>
      <c r="J53" s="51">
        <f t="shared" si="45"/>
        <v>8353.7999999999975</v>
      </c>
      <c r="K53" s="51">
        <f t="shared" si="45"/>
        <v>8603.2799999999988</v>
      </c>
      <c r="L53" s="51">
        <f t="shared" si="45"/>
        <v>8852.7599999999966</v>
      </c>
      <c r="M53" s="51">
        <f t="shared" si="45"/>
        <v>9102.239999999998</v>
      </c>
      <c r="N53" s="44"/>
      <c r="O53" s="48" t="s">
        <v>21</v>
      </c>
      <c r="P53" s="48">
        <f t="shared" ref="P53:Q53" si="46">P51+P52</f>
        <v>130</v>
      </c>
      <c r="Q53" s="48">
        <f t="shared" si="46"/>
        <v>125</v>
      </c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1:27" ht="15.75" customHeight="1" x14ac:dyDescent="0.15">
      <c r="A54" s="59" t="s">
        <v>105</v>
      </c>
      <c r="B54" s="60">
        <f t="shared" ref="B54:M54" si="47">B40/$P$60</f>
        <v>922.31999999999982</v>
      </c>
      <c r="C54" s="60">
        <f t="shared" si="47"/>
        <v>1072.0079999999996</v>
      </c>
      <c r="D54" s="60">
        <f t="shared" si="47"/>
        <v>1205.0639999999996</v>
      </c>
      <c r="E54" s="60">
        <f t="shared" si="47"/>
        <v>1321.4879999999996</v>
      </c>
      <c r="F54" s="60">
        <f t="shared" si="47"/>
        <v>1421.2799999999997</v>
      </c>
      <c r="G54" s="60">
        <f t="shared" si="47"/>
        <v>1504.4399999999996</v>
      </c>
      <c r="H54" s="60">
        <f t="shared" si="47"/>
        <v>1570.9679999999996</v>
      </c>
      <c r="I54" s="60">
        <f t="shared" si="47"/>
        <v>1620.8639999999996</v>
      </c>
      <c r="J54" s="60">
        <f t="shared" si="47"/>
        <v>1670.7599999999995</v>
      </c>
      <c r="K54" s="60">
        <f t="shared" si="47"/>
        <v>1720.6559999999995</v>
      </c>
      <c r="L54" s="60">
        <f t="shared" si="47"/>
        <v>1770.5519999999995</v>
      </c>
      <c r="M54" s="60">
        <f t="shared" si="47"/>
        <v>1820.4479999999994</v>
      </c>
      <c r="N54" s="44"/>
      <c r="O54" s="48" t="s">
        <v>116</v>
      </c>
      <c r="P54" s="66">
        <f>P53/P$51</f>
        <v>0.72222222222222221</v>
      </c>
      <c r="Q54" s="66">
        <f>Q53/Q51</f>
        <v>0.55555555555555558</v>
      </c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spans="1:27" ht="15.75" customHeight="1" x14ac:dyDescent="0.15">
      <c r="A55" s="59" t="s">
        <v>106</v>
      </c>
      <c r="B55" s="60">
        <f t="shared" ref="B55:M55" si="48">B41/$P$60</f>
        <v>2305.7999999999993</v>
      </c>
      <c r="C55" s="60">
        <f t="shared" si="48"/>
        <v>2787.2207999999991</v>
      </c>
      <c r="D55" s="60">
        <f t="shared" si="48"/>
        <v>3253.6727999999989</v>
      </c>
      <c r="E55" s="60">
        <f t="shared" si="48"/>
        <v>3700.1663999999996</v>
      </c>
      <c r="F55" s="60">
        <f t="shared" si="48"/>
        <v>4121.7119999999995</v>
      </c>
      <c r="G55" s="60">
        <f t="shared" si="48"/>
        <v>4513.3199999999988</v>
      </c>
      <c r="H55" s="60">
        <f t="shared" si="48"/>
        <v>4870.0007999999989</v>
      </c>
      <c r="I55" s="60">
        <f t="shared" si="48"/>
        <v>5186.764799999999</v>
      </c>
      <c r="J55" s="60">
        <f t="shared" si="48"/>
        <v>5513.5079999999998</v>
      </c>
      <c r="K55" s="60">
        <f t="shared" si="48"/>
        <v>5850.2303999999995</v>
      </c>
      <c r="L55" s="60">
        <f t="shared" si="48"/>
        <v>6196.9319999999989</v>
      </c>
      <c r="M55" s="60">
        <f t="shared" si="48"/>
        <v>6553.6127999999999</v>
      </c>
      <c r="N55" s="44"/>
      <c r="O55" s="44" t="s">
        <v>117</v>
      </c>
      <c r="P55" s="44">
        <f t="shared" ref="P55:Q55" si="49">-2%*P49</f>
        <v>-4</v>
      </c>
      <c r="Q55" s="44">
        <f t="shared" si="49"/>
        <v>-5</v>
      </c>
      <c r="R55" s="44" t="s">
        <v>118</v>
      </c>
      <c r="S55" s="44"/>
      <c r="T55" s="44"/>
      <c r="U55" s="44"/>
      <c r="V55" s="44"/>
      <c r="W55" s="44"/>
      <c r="X55" s="44"/>
      <c r="Y55" s="44"/>
      <c r="Z55" s="44"/>
      <c r="AA55" s="44"/>
    </row>
    <row r="56" spans="1:27" ht="15.75" customHeight="1" x14ac:dyDescent="0.15">
      <c r="A56" s="59" t="s">
        <v>107</v>
      </c>
      <c r="B56" s="60">
        <f t="shared" ref="B56:M56" si="50">B42/$P$60</f>
        <v>1383.4799999999996</v>
      </c>
      <c r="C56" s="60">
        <f t="shared" si="50"/>
        <v>1500.8111999999996</v>
      </c>
      <c r="D56" s="60">
        <f t="shared" si="50"/>
        <v>1566.5831999999998</v>
      </c>
      <c r="E56" s="60">
        <f t="shared" si="50"/>
        <v>1585.7855999999995</v>
      </c>
      <c r="F56" s="60">
        <f t="shared" si="50"/>
        <v>1563.4079999999992</v>
      </c>
      <c r="G56" s="60">
        <f t="shared" si="50"/>
        <v>1504.4399999999991</v>
      </c>
      <c r="H56" s="60">
        <f t="shared" si="50"/>
        <v>1413.8711999999991</v>
      </c>
      <c r="I56" s="60">
        <f t="shared" si="50"/>
        <v>1296.6911999999991</v>
      </c>
      <c r="J56" s="60">
        <f t="shared" si="50"/>
        <v>1169.5319999999988</v>
      </c>
      <c r="K56" s="60">
        <f t="shared" si="50"/>
        <v>1032.3935999999987</v>
      </c>
      <c r="L56" s="60">
        <f t="shared" si="50"/>
        <v>885.27599999999848</v>
      </c>
      <c r="M56" s="60">
        <f t="shared" si="50"/>
        <v>728.17919999999845</v>
      </c>
      <c r="N56" s="44"/>
      <c r="O56" s="48" t="s">
        <v>119</v>
      </c>
      <c r="P56" s="48">
        <f t="shared" ref="P56:Q56" si="51">P53+P55</f>
        <v>126</v>
      </c>
      <c r="Q56" s="48">
        <f t="shared" si="51"/>
        <v>120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spans="1:27" ht="15.75" customHeight="1" x14ac:dyDescent="0.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8" t="s">
        <v>120</v>
      </c>
      <c r="P57" s="66">
        <f t="shared" ref="P57:Q57" si="52">P56/P$51</f>
        <v>0.7</v>
      </c>
      <c r="Q57" s="66">
        <f t="shared" si="52"/>
        <v>0.53333333333333333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spans="1:27" ht="15.75" customHeight="1" x14ac:dyDescent="0.15">
      <c r="A58" s="44" t="s">
        <v>108</v>
      </c>
      <c r="B58" s="51">
        <f t="shared" ref="B58:M58" si="53">SUM(B59:B61)</f>
        <v>1581.1199999999997</v>
      </c>
      <c r="C58" s="51">
        <f t="shared" si="53"/>
        <v>1837.7279999999996</v>
      </c>
      <c r="D58" s="51">
        <f t="shared" si="53"/>
        <v>2065.8239999999996</v>
      </c>
      <c r="E58" s="51">
        <f t="shared" si="53"/>
        <v>2265.4079999999994</v>
      </c>
      <c r="F58" s="51">
        <f t="shared" si="53"/>
        <v>2436.4799999999996</v>
      </c>
      <c r="G58" s="51">
        <f t="shared" si="53"/>
        <v>2579.0399999999991</v>
      </c>
      <c r="H58" s="51">
        <f t="shared" si="53"/>
        <v>2693.0879999999993</v>
      </c>
      <c r="I58" s="51">
        <f t="shared" si="53"/>
        <v>2778.6239999999993</v>
      </c>
      <c r="J58" s="51">
        <f t="shared" si="53"/>
        <v>2864.1599999999989</v>
      </c>
      <c r="K58" s="51">
        <f t="shared" si="53"/>
        <v>2949.6959999999995</v>
      </c>
      <c r="L58" s="51">
        <f t="shared" si="53"/>
        <v>3035.2319999999991</v>
      </c>
      <c r="M58" s="51">
        <f t="shared" si="53"/>
        <v>3120.7679999999991</v>
      </c>
      <c r="N58" s="44"/>
      <c r="O58" s="44" t="s">
        <v>121</v>
      </c>
      <c r="P58" s="54">
        <f t="shared" ref="P58:Q58" si="54">P57- 40%</f>
        <v>0.29999999999999993</v>
      </c>
      <c r="Q58" s="54">
        <f t="shared" si="54"/>
        <v>0.1333333333333333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spans="1:27" ht="15.75" customHeight="1" x14ac:dyDescent="0.15">
      <c r="A59" s="59" t="s">
        <v>105</v>
      </c>
      <c r="B59" s="60">
        <f t="shared" ref="B59:M59" si="55">B43/$Q$60</f>
        <v>878.39999999999975</v>
      </c>
      <c r="C59" s="60">
        <f t="shared" si="55"/>
        <v>1020.9599999999997</v>
      </c>
      <c r="D59" s="60">
        <f t="shared" si="55"/>
        <v>1147.6799999999996</v>
      </c>
      <c r="E59" s="60">
        <f t="shared" si="55"/>
        <v>1258.5599999999997</v>
      </c>
      <c r="F59" s="60">
        <f t="shared" si="55"/>
        <v>1353.5999999999997</v>
      </c>
      <c r="G59" s="60">
        <f t="shared" si="55"/>
        <v>1432.7999999999995</v>
      </c>
      <c r="H59" s="60">
        <f t="shared" si="55"/>
        <v>1496.1599999999996</v>
      </c>
      <c r="I59" s="60">
        <f t="shared" si="55"/>
        <v>1543.6799999999996</v>
      </c>
      <c r="J59" s="60">
        <f t="shared" si="55"/>
        <v>1591.1999999999996</v>
      </c>
      <c r="K59" s="60">
        <f t="shared" si="55"/>
        <v>1638.7199999999996</v>
      </c>
      <c r="L59" s="60">
        <f t="shared" si="55"/>
        <v>1686.2399999999993</v>
      </c>
      <c r="M59" s="60">
        <f t="shared" si="55"/>
        <v>1733.7599999999995</v>
      </c>
      <c r="N59" s="44"/>
      <c r="O59" s="44" t="s">
        <v>122</v>
      </c>
      <c r="P59" s="67">
        <f t="shared" ref="P59:Q59" si="56">-P58*P51</f>
        <v>-53.999999999999986</v>
      </c>
      <c r="Q59" s="67">
        <f t="shared" si="56"/>
        <v>-29.999999999999993</v>
      </c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spans="1:27" ht="15.75" customHeight="1" x14ac:dyDescent="0.15">
      <c r="A60" s="59" t="s">
        <v>106</v>
      </c>
      <c r="B60" s="60">
        <f t="shared" ref="B60:M60" si="57">B44/$Q$60</f>
        <v>439.19999999999987</v>
      </c>
      <c r="C60" s="60">
        <f t="shared" si="57"/>
        <v>510.47999999999985</v>
      </c>
      <c r="D60" s="60">
        <f t="shared" si="57"/>
        <v>573.8399999999998</v>
      </c>
      <c r="E60" s="60">
        <f t="shared" si="57"/>
        <v>629.27999999999986</v>
      </c>
      <c r="F60" s="60">
        <f t="shared" si="57"/>
        <v>676.79999999999984</v>
      </c>
      <c r="G60" s="60">
        <f t="shared" si="57"/>
        <v>716.39999999999975</v>
      </c>
      <c r="H60" s="60">
        <f t="shared" si="57"/>
        <v>748.07999999999981</v>
      </c>
      <c r="I60" s="60">
        <f t="shared" si="57"/>
        <v>771.8399999999998</v>
      </c>
      <c r="J60" s="60">
        <f t="shared" si="57"/>
        <v>795.5999999999998</v>
      </c>
      <c r="K60" s="60">
        <f t="shared" si="57"/>
        <v>819.35999999999979</v>
      </c>
      <c r="L60" s="60">
        <f t="shared" si="57"/>
        <v>843.11999999999978</v>
      </c>
      <c r="M60" s="60">
        <f t="shared" si="57"/>
        <v>866.87999999999977</v>
      </c>
      <c r="N60" s="44"/>
      <c r="O60" s="68" t="s">
        <v>123</v>
      </c>
      <c r="P60" s="69">
        <f t="shared" ref="P60:Q60" si="58">-P49/P59</f>
        <v>3.7037037037037046</v>
      </c>
      <c r="Q60" s="70">
        <f t="shared" si="58"/>
        <v>8.3333333333333357</v>
      </c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spans="1:27" ht="15.75" customHeight="1" x14ac:dyDescent="0.15">
      <c r="A61" s="59" t="s">
        <v>107</v>
      </c>
      <c r="B61" s="60">
        <f t="shared" ref="B61:M61" si="59">B45/$Q$60</f>
        <v>263.51999999999992</v>
      </c>
      <c r="C61" s="60">
        <f t="shared" si="59"/>
        <v>306.2879999999999</v>
      </c>
      <c r="D61" s="60">
        <f t="shared" si="59"/>
        <v>344.30399999999986</v>
      </c>
      <c r="E61" s="60">
        <f t="shared" si="59"/>
        <v>377.56799999999993</v>
      </c>
      <c r="F61" s="60">
        <f t="shared" si="59"/>
        <v>406.07999999999987</v>
      </c>
      <c r="G61" s="60">
        <f t="shared" si="59"/>
        <v>429.83999999999986</v>
      </c>
      <c r="H61" s="60">
        <f t="shared" si="59"/>
        <v>448.84799999999984</v>
      </c>
      <c r="I61" s="60">
        <f t="shared" si="59"/>
        <v>463.10399999999987</v>
      </c>
      <c r="J61" s="60">
        <f t="shared" si="59"/>
        <v>477.35999999999984</v>
      </c>
      <c r="K61" s="60">
        <f t="shared" si="59"/>
        <v>491.61599999999987</v>
      </c>
      <c r="L61" s="60">
        <f t="shared" si="59"/>
        <v>505.87199999999979</v>
      </c>
      <c r="M61" s="60">
        <f t="shared" si="59"/>
        <v>520.12799999999982</v>
      </c>
      <c r="N61" s="44"/>
      <c r="O61" s="48" t="s">
        <v>124</v>
      </c>
      <c r="P61" s="71">
        <f t="shared" ref="P61:Q61" si="60">P56+P59</f>
        <v>72.000000000000014</v>
      </c>
      <c r="Q61" s="71">
        <f t="shared" si="60"/>
        <v>90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spans="1:27" ht="15.75" customHeight="1" x14ac:dyDescent="0.15">
      <c r="N62" s="44"/>
      <c r="O62" s="48" t="s">
        <v>125</v>
      </c>
      <c r="P62" s="66">
        <f t="shared" ref="P62:Q62" si="61">P61/P$51</f>
        <v>0.40000000000000008</v>
      </c>
      <c r="Q62" s="66">
        <f t="shared" si="61"/>
        <v>0.4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spans="1:27" ht="15.75" customHeight="1" x14ac:dyDescent="0.15">
      <c r="A63" s="48" t="s">
        <v>126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spans="1:27" ht="15.75" customHeight="1" x14ac:dyDescent="0.15">
      <c r="A64" s="47" t="s">
        <v>127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spans="1:27" ht="15.75" customHeight="1" x14ac:dyDescent="0.15">
      <c r="A65" s="44" t="s">
        <v>128</v>
      </c>
      <c r="B65" s="51">
        <f t="shared" ref="B65:M65" si="62">SUM(B66:B67)</f>
        <v>0</v>
      </c>
      <c r="C65" s="51">
        <f t="shared" si="62"/>
        <v>0</v>
      </c>
      <c r="D65" s="51">
        <f t="shared" si="62"/>
        <v>0</v>
      </c>
      <c r="E65" s="51">
        <f t="shared" si="62"/>
        <v>0</v>
      </c>
      <c r="F65" s="51">
        <f t="shared" si="62"/>
        <v>0</v>
      </c>
      <c r="G65" s="51">
        <f t="shared" si="62"/>
        <v>0</v>
      </c>
      <c r="H65" s="51">
        <f t="shared" si="62"/>
        <v>0</v>
      </c>
      <c r="I65" s="51">
        <f t="shared" si="62"/>
        <v>0</v>
      </c>
      <c r="J65" s="51">
        <f t="shared" si="62"/>
        <v>0</v>
      </c>
      <c r="K65" s="51">
        <f t="shared" si="62"/>
        <v>0</v>
      </c>
      <c r="L65" s="51">
        <f t="shared" si="62"/>
        <v>0</v>
      </c>
      <c r="M65" s="51">
        <f t="shared" si="62"/>
        <v>0</v>
      </c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1:27" ht="15.75" customHeight="1" x14ac:dyDescent="0.15">
      <c r="A66" s="59" t="s">
        <v>105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1:27" ht="15.75" customHeight="1" x14ac:dyDescent="0.15">
      <c r="A67" s="59" t="s">
        <v>106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spans="1:27" ht="15.75" customHeight="1" x14ac:dyDescent="0.1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spans="1:27" ht="15.75" customHeight="1" x14ac:dyDescent="0.15">
      <c r="A69" s="44" t="s">
        <v>129</v>
      </c>
      <c r="B69" s="51">
        <f t="shared" ref="B69:M69" si="63">SUM(B70:B71)</f>
        <v>0</v>
      </c>
      <c r="C69" s="51">
        <f t="shared" si="63"/>
        <v>0</v>
      </c>
      <c r="D69" s="51">
        <f t="shared" si="63"/>
        <v>0</v>
      </c>
      <c r="E69" s="51">
        <f t="shared" si="63"/>
        <v>0</v>
      </c>
      <c r="F69" s="51">
        <f t="shared" si="63"/>
        <v>0</v>
      </c>
      <c r="G69" s="51">
        <f t="shared" si="63"/>
        <v>0</v>
      </c>
      <c r="H69" s="51">
        <f t="shared" si="63"/>
        <v>0</v>
      </c>
      <c r="I69" s="51">
        <f t="shared" si="63"/>
        <v>0</v>
      </c>
      <c r="J69" s="51">
        <f t="shared" si="63"/>
        <v>0</v>
      </c>
      <c r="K69" s="51">
        <f t="shared" si="63"/>
        <v>0</v>
      </c>
      <c r="L69" s="51">
        <f t="shared" si="63"/>
        <v>0</v>
      </c>
      <c r="M69" s="51">
        <f t="shared" si="63"/>
        <v>0</v>
      </c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spans="1:27" ht="15.75" customHeight="1" x14ac:dyDescent="0.15">
      <c r="A70" s="59" t="s">
        <v>105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spans="1:27" ht="15.75" customHeight="1" x14ac:dyDescent="0.15">
      <c r="A71" s="59" t="s">
        <v>106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spans="1:27" ht="15.75" customHeight="1" x14ac:dyDescent="0.1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:27" ht="15.75" customHeight="1" x14ac:dyDescent="0.15">
      <c r="A73" s="47" t="s">
        <v>130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27" ht="15.75" customHeight="1" x14ac:dyDescent="0.15">
      <c r="A74" s="44" t="s">
        <v>128</v>
      </c>
      <c r="B74" s="54">
        <f t="shared" ref="B74:M74" si="64">SUM(B75:B76)</f>
        <v>0</v>
      </c>
      <c r="C74" s="54">
        <f t="shared" si="64"/>
        <v>0</v>
      </c>
      <c r="D74" s="54">
        <f t="shared" si="64"/>
        <v>0</v>
      </c>
      <c r="E74" s="54">
        <f t="shared" si="64"/>
        <v>0</v>
      </c>
      <c r="F74" s="54">
        <f t="shared" si="64"/>
        <v>0</v>
      </c>
      <c r="G74" s="54">
        <f t="shared" si="64"/>
        <v>0</v>
      </c>
      <c r="H74" s="54">
        <f t="shared" si="64"/>
        <v>0</v>
      </c>
      <c r="I74" s="54">
        <f t="shared" si="64"/>
        <v>0</v>
      </c>
      <c r="J74" s="54">
        <f t="shared" si="64"/>
        <v>0</v>
      </c>
      <c r="K74" s="54">
        <f t="shared" si="64"/>
        <v>0</v>
      </c>
      <c r="L74" s="54">
        <f t="shared" si="64"/>
        <v>0</v>
      </c>
      <c r="M74" s="54">
        <f t="shared" si="64"/>
        <v>0</v>
      </c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spans="1:27" ht="15.75" customHeight="1" x14ac:dyDescent="0.15">
      <c r="A75" s="59" t="s">
        <v>105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:27" ht="15.75" customHeight="1" x14ac:dyDescent="0.15">
      <c r="A76" s="59" t="s">
        <v>106</v>
      </c>
      <c r="B76" s="74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spans="1:27" ht="15.75" customHeight="1" x14ac:dyDescent="0.1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spans="1:27" ht="15.75" customHeight="1" x14ac:dyDescent="0.15">
      <c r="A78" s="44" t="s">
        <v>129</v>
      </c>
      <c r="B78" s="51">
        <f t="shared" ref="B78:M78" si="65">SUM(B79:B80)</f>
        <v>0</v>
      </c>
      <c r="C78" s="51">
        <f t="shared" si="65"/>
        <v>0</v>
      </c>
      <c r="D78" s="51">
        <f t="shared" si="65"/>
        <v>0</v>
      </c>
      <c r="E78" s="51">
        <f t="shared" si="65"/>
        <v>0</v>
      </c>
      <c r="F78" s="51">
        <f t="shared" si="65"/>
        <v>0</v>
      </c>
      <c r="G78" s="51">
        <f t="shared" si="65"/>
        <v>0</v>
      </c>
      <c r="H78" s="51">
        <f t="shared" si="65"/>
        <v>0</v>
      </c>
      <c r="I78" s="51">
        <f t="shared" si="65"/>
        <v>0</v>
      </c>
      <c r="J78" s="51">
        <f t="shared" si="65"/>
        <v>0</v>
      </c>
      <c r="K78" s="51">
        <f t="shared" si="65"/>
        <v>0</v>
      </c>
      <c r="L78" s="51">
        <f t="shared" si="65"/>
        <v>0</v>
      </c>
      <c r="M78" s="51">
        <f t="shared" si="65"/>
        <v>0</v>
      </c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spans="1:27" ht="15.75" customHeight="1" x14ac:dyDescent="0.15">
      <c r="A79" s="59" t="s">
        <v>105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spans="1:27" ht="15.75" customHeight="1" x14ac:dyDescent="0.15">
      <c r="A80" s="59" t="s">
        <v>106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spans="1:27" ht="15.75" customHeight="1" x14ac:dyDescent="0.1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:27" ht="15.75" customHeight="1" x14ac:dyDescent="0.15">
      <c r="A82" s="47" t="s">
        <v>131</v>
      </c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spans="1:27" ht="15.75" customHeight="1" x14ac:dyDescent="0.15">
      <c r="A83" s="44" t="s">
        <v>128</v>
      </c>
      <c r="B83" s="51">
        <f t="shared" ref="B83:M83" si="66">SUM(B84:B85)</f>
        <v>0</v>
      </c>
      <c r="C83" s="51">
        <f t="shared" si="66"/>
        <v>0</v>
      </c>
      <c r="D83" s="51">
        <f t="shared" si="66"/>
        <v>0</v>
      </c>
      <c r="E83" s="51">
        <f t="shared" si="66"/>
        <v>0</v>
      </c>
      <c r="F83" s="51">
        <f t="shared" si="66"/>
        <v>0</v>
      </c>
      <c r="G83" s="51">
        <f t="shared" si="66"/>
        <v>0</v>
      </c>
      <c r="H83" s="51">
        <f t="shared" si="66"/>
        <v>0</v>
      </c>
      <c r="I83" s="51">
        <f t="shared" si="66"/>
        <v>0</v>
      </c>
      <c r="J83" s="51">
        <f t="shared" si="66"/>
        <v>0</v>
      </c>
      <c r="K83" s="51">
        <f t="shared" si="66"/>
        <v>0</v>
      </c>
      <c r="L83" s="51">
        <f t="shared" si="66"/>
        <v>0</v>
      </c>
      <c r="M83" s="51">
        <f t="shared" si="66"/>
        <v>0</v>
      </c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spans="1:27" ht="15.75" customHeight="1" x14ac:dyDescent="0.15">
      <c r="A84" s="59" t="s">
        <v>105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spans="1:27" ht="15.75" customHeight="1" x14ac:dyDescent="0.15">
      <c r="A85" s="59" t="s">
        <v>106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spans="1:27" ht="15.75" customHeight="1" x14ac:dyDescent="0.1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spans="1:27" ht="15.75" customHeight="1" x14ac:dyDescent="0.15">
      <c r="A87" s="44" t="s">
        <v>129</v>
      </c>
      <c r="B87" s="51">
        <f t="shared" ref="B87:M87" si="67">SUM(B88:B89)</f>
        <v>0</v>
      </c>
      <c r="C87" s="51">
        <f t="shared" si="67"/>
        <v>0</v>
      </c>
      <c r="D87" s="51">
        <f t="shared" si="67"/>
        <v>0</v>
      </c>
      <c r="E87" s="51">
        <f t="shared" si="67"/>
        <v>0</v>
      </c>
      <c r="F87" s="51">
        <f t="shared" si="67"/>
        <v>0</v>
      </c>
      <c r="G87" s="51">
        <f t="shared" si="67"/>
        <v>0</v>
      </c>
      <c r="H87" s="51">
        <f t="shared" si="67"/>
        <v>0</v>
      </c>
      <c r="I87" s="51">
        <f t="shared" si="67"/>
        <v>0</v>
      </c>
      <c r="J87" s="51">
        <f t="shared" si="67"/>
        <v>0</v>
      </c>
      <c r="K87" s="51">
        <f t="shared" si="67"/>
        <v>0</v>
      </c>
      <c r="L87" s="51">
        <f t="shared" si="67"/>
        <v>0</v>
      </c>
      <c r="M87" s="51">
        <f t="shared" si="67"/>
        <v>0</v>
      </c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spans="1:27" ht="15.75" customHeight="1" x14ac:dyDescent="0.15">
      <c r="A88" s="59" t="s">
        <v>105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spans="1:27" ht="15.75" customHeight="1" x14ac:dyDescent="0.15">
      <c r="A89" s="59" t="s">
        <v>106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spans="1:27" ht="15.75" customHeight="1" x14ac:dyDescent="0.1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spans="1:27" ht="15.75" customHeight="1" x14ac:dyDescent="0.15">
      <c r="A91" s="47" t="s">
        <v>132</v>
      </c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spans="1:27" ht="15.75" customHeight="1" x14ac:dyDescent="0.15">
      <c r="A92" s="44" t="s">
        <v>128</v>
      </c>
      <c r="B92" s="51">
        <f t="shared" ref="B92:M92" si="68">SUM(B93:B94)</f>
        <v>0</v>
      </c>
      <c r="C92" s="51">
        <f t="shared" si="68"/>
        <v>0</v>
      </c>
      <c r="D92" s="51">
        <f t="shared" si="68"/>
        <v>0</v>
      </c>
      <c r="E92" s="51">
        <f t="shared" si="68"/>
        <v>0</v>
      </c>
      <c r="F92" s="51">
        <f t="shared" si="68"/>
        <v>0</v>
      </c>
      <c r="G92" s="51">
        <f t="shared" si="68"/>
        <v>0</v>
      </c>
      <c r="H92" s="51">
        <f t="shared" si="68"/>
        <v>0</v>
      </c>
      <c r="I92" s="51">
        <f t="shared" si="68"/>
        <v>0</v>
      </c>
      <c r="J92" s="51">
        <f t="shared" si="68"/>
        <v>0</v>
      </c>
      <c r="K92" s="51">
        <f t="shared" si="68"/>
        <v>0</v>
      </c>
      <c r="L92" s="51">
        <f t="shared" si="68"/>
        <v>0</v>
      </c>
      <c r="M92" s="51">
        <f t="shared" si="68"/>
        <v>0</v>
      </c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spans="1:27" ht="15.75" customHeight="1" x14ac:dyDescent="0.15">
      <c r="A93" s="59" t="s">
        <v>105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spans="1:27" ht="15.75" customHeight="1" x14ac:dyDescent="0.15">
      <c r="A94" s="59" t="s">
        <v>106</v>
      </c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spans="1:27" ht="15.75" customHeight="1" x14ac:dyDescent="0.1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spans="1:27" ht="15.75" customHeight="1" x14ac:dyDescent="0.15">
      <c r="A96" s="44" t="s">
        <v>129</v>
      </c>
      <c r="B96" s="51">
        <f t="shared" ref="B96:M96" si="69">SUM(B97:B98)</f>
        <v>0</v>
      </c>
      <c r="C96" s="51">
        <f t="shared" si="69"/>
        <v>0</v>
      </c>
      <c r="D96" s="51">
        <f t="shared" si="69"/>
        <v>0</v>
      </c>
      <c r="E96" s="51">
        <f t="shared" si="69"/>
        <v>0</v>
      </c>
      <c r="F96" s="51">
        <f t="shared" si="69"/>
        <v>0</v>
      </c>
      <c r="G96" s="51">
        <f t="shared" si="69"/>
        <v>0</v>
      </c>
      <c r="H96" s="51">
        <f t="shared" si="69"/>
        <v>0</v>
      </c>
      <c r="I96" s="51">
        <f t="shared" si="69"/>
        <v>0</v>
      </c>
      <c r="J96" s="51">
        <f t="shared" si="69"/>
        <v>0</v>
      </c>
      <c r="K96" s="51">
        <f t="shared" si="69"/>
        <v>0</v>
      </c>
      <c r="L96" s="51">
        <f t="shared" si="69"/>
        <v>0</v>
      </c>
      <c r="M96" s="51">
        <f t="shared" si="69"/>
        <v>0</v>
      </c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spans="1:27" ht="15.75" customHeight="1" x14ac:dyDescent="0.15">
      <c r="A97" s="5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spans="1:27" ht="15.75" customHeight="1" x14ac:dyDescent="0.15">
      <c r="A98" s="59" t="s">
        <v>106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spans="1:27" ht="15.75" customHeight="1" x14ac:dyDescent="0.1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spans="1:27" ht="15.75" customHeight="1" x14ac:dyDescent="0.15">
      <c r="A100" s="47" t="s">
        <v>133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spans="1:27" ht="15.75" customHeight="1" x14ac:dyDescent="0.15">
      <c r="A101" s="44" t="s">
        <v>128</v>
      </c>
      <c r="B101" s="51">
        <f t="shared" ref="B101:M101" si="70">SUM(B102:B103)</f>
        <v>0</v>
      </c>
      <c r="C101" s="51">
        <f t="shared" si="70"/>
        <v>0</v>
      </c>
      <c r="D101" s="51">
        <f t="shared" si="70"/>
        <v>0</v>
      </c>
      <c r="E101" s="51">
        <f t="shared" si="70"/>
        <v>0</v>
      </c>
      <c r="F101" s="51">
        <f t="shared" si="70"/>
        <v>0</v>
      </c>
      <c r="G101" s="51">
        <f t="shared" si="70"/>
        <v>0</v>
      </c>
      <c r="H101" s="51">
        <f t="shared" si="70"/>
        <v>0</v>
      </c>
      <c r="I101" s="51">
        <f t="shared" si="70"/>
        <v>0</v>
      </c>
      <c r="J101" s="51">
        <f t="shared" si="70"/>
        <v>0</v>
      </c>
      <c r="K101" s="51">
        <f t="shared" si="70"/>
        <v>0</v>
      </c>
      <c r="L101" s="51">
        <f t="shared" si="70"/>
        <v>0</v>
      </c>
      <c r="M101" s="51">
        <f t="shared" si="70"/>
        <v>0</v>
      </c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spans="1:27" ht="15.75" customHeight="1" x14ac:dyDescent="0.15">
      <c r="A102" s="59" t="s">
        <v>105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spans="1:27" ht="15.75" customHeight="1" x14ac:dyDescent="0.15">
      <c r="A103" s="59" t="s">
        <v>106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spans="1:27" ht="15.75" customHeight="1" x14ac:dyDescent="0.1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spans="1:27" ht="15.75" customHeight="1" x14ac:dyDescent="0.15">
      <c r="A105" s="44" t="s">
        <v>129</v>
      </c>
      <c r="B105" s="51">
        <f t="shared" ref="B105:M105" si="71">SUM(B106:B107)</f>
        <v>0</v>
      </c>
      <c r="C105" s="51">
        <f t="shared" si="71"/>
        <v>0</v>
      </c>
      <c r="D105" s="51">
        <f t="shared" si="71"/>
        <v>0</v>
      </c>
      <c r="E105" s="51">
        <f t="shared" si="71"/>
        <v>0</v>
      </c>
      <c r="F105" s="51">
        <f t="shared" si="71"/>
        <v>0</v>
      </c>
      <c r="G105" s="51">
        <f t="shared" si="71"/>
        <v>0</v>
      </c>
      <c r="H105" s="51">
        <f t="shared" si="71"/>
        <v>0</v>
      </c>
      <c r="I105" s="51">
        <f t="shared" si="71"/>
        <v>0</v>
      </c>
      <c r="J105" s="51">
        <f t="shared" si="71"/>
        <v>0</v>
      </c>
      <c r="K105" s="51">
        <f t="shared" si="71"/>
        <v>0</v>
      </c>
      <c r="L105" s="51">
        <f t="shared" si="71"/>
        <v>0</v>
      </c>
      <c r="M105" s="51">
        <f t="shared" si="71"/>
        <v>0</v>
      </c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spans="1:27" ht="15.75" customHeight="1" x14ac:dyDescent="0.15">
      <c r="A106" s="59" t="s">
        <v>105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1:27" ht="15.75" customHeight="1" x14ac:dyDescent="0.15">
      <c r="A107" s="59" t="s">
        <v>106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1:27" ht="15.75" customHeight="1" x14ac:dyDescent="0.1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1:27" ht="15.75" customHeight="1" x14ac:dyDescent="0.15">
      <c r="A109" s="48" t="s">
        <v>134</v>
      </c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spans="1:27" ht="15.75" customHeight="1" x14ac:dyDescent="0.15">
      <c r="A110" s="47" t="s">
        <v>135</v>
      </c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spans="1:27" ht="15.75" customHeight="1" x14ac:dyDescent="0.15">
      <c r="A111" s="44" t="s">
        <v>104</v>
      </c>
      <c r="B111" s="51">
        <f t="shared" ref="B111:M111" si="72">SUM(B112:B114)</f>
        <v>0</v>
      </c>
      <c r="C111" s="44">
        <f t="shared" si="72"/>
        <v>0</v>
      </c>
      <c r="D111" s="44">
        <f t="shared" si="72"/>
        <v>0</v>
      </c>
      <c r="E111" s="44">
        <f t="shared" si="72"/>
        <v>0</v>
      </c>
      <c r="F111" s="44">
        <f t="shared" si="72"/>
        <v>0</v>
      </c>
      <c r="G111" s="44">
        <f t="shared" si="72"/>
        <v>0</v>
      </c>
      <c r="H111" s="44">
        <f t="shared" si="72"/>
        <v>0</v>
      </c>
      <c r="I111" s="44">
        <f t="shared" si="72"/>
        <v>0</v>
      </c>
      <c r="J111" s="44">
        <f t="shared" si="72"/>
        <v>0</v>
      </c>
      <c r="K111" s="44">
        <f t="shared" si="72"/>
        <v>0</v>
      </c>
      <c r="L111" s="44">
        <f t="shared" si="72"/>
        <v>0</v>
      </c>
      <c r="M111" s="44">
        <f t="shared" si="72"/>
        <v>0</v>
      </c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spans="1:27" ht="15.75" customHeight="1" x14ac:dyDescent="0.15">
      <c r="A112" s="59" t="s">
        <v>105</v>
      </c>
      <c r="B112" s="220" t="s">
        <v>136</v>
      </c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spans="1:27" ht="15.75" customHeight="1" x14ac:dyDescent="0.15">
      <c r="A113" s="59" t="s">
        <v>106</v>
      </c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1:27" ht="15.75" customHeight="1" x14ac:dyDescent="0.15">
      <c r="A114" s="59" t="s">
        <v>107</v>
      </c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1:27" ht="15.75" customHeight="1" x14ac:dyDescent="0.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1:27" ht="15.75" customHeight="1" x14ac:dyDescent="0.15">
      <c r="A116" s="44" t="s">
        <v>108</v>
      </c>
      <c r="B116" s="51">
        <f t="shared" ref="B116:M116" si="73">SUM(B117:B119)</f>
        <v>0</v>
      </c>
      <c r="C116" s="44">
        <f t="shared" si="73"/>
        <v>0</v>
      </c>
      <c r="D116" s="44">
        <f t="shared" si="73"/>
        <v>0</v>
      </c>
      <c r="E116" s="44">
        <f t="shared" si="73"/>
        <v>0</v>
      </c>
      <c r="F116" s="44">
        <f t="shared" si="73"/>
        <v>0</v>
      </c>
      <c r="G116" s="44">
        <f t="shared" si="73"/>
        <v>0</v>
      </c>
      <c r="H116" s="44">
        <f t="shared" si="73"/>
        <v>0</v>
      </c>
      <c r="I116" s="44">
        <f t="shared" si="73"/>
        <v>0</v>
      </c>
      <c r="J116" s="44">
        <f t="shared" si="73"/>
        <v>0</v>
      </c>
      <c r="K116" s="44">
        <f t="shared" si="73"/>
        <v>0</v>
      </c>
      <c r="L116" s="44">
        <f t="shared" si="73"/>
        <v>0</v>
      </c>
      <c r="M116" s="44">
        <f t="shared" si="73"/>
        <v>0</v>
      </c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1:27" ht="15.75" customHeight="1" x14ac:dyDescent="0.15">
      <c r="A117" s="59" t="s">
        <v>105</v>
      </c>
      <c r="B117" s="220" t="s">
        <v>136</v>
      </c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spans="1:27" ht="15.75" customHeight="1" x14ac:dyDescent="0.15">
      <c r="A118" s="59" t="s">
        <v>106</v>
      </c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spans="1:27" ht="15.75" customHeight="1" x14ac:dyDescent="0.15">
      <c r="A119" s="59" t="s">
        <v>107</v>
      </c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spans="1:27" ht="15.75" customHeight="1" x14ac:dyDescent="0.1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spans="1:27" ht="15.75" customHeight="1" x14ac:dyDescent="0.15">
      <c r="A121" s="47" t="s">
        <v>137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spans="1:27" ht="15.75" customHeight="1" x14ac:dyDescent="0.15">
      <c r="A122" s="44" t="s">
        <v>104</v>
      </c>
      <c r="B122" s="51">
        <f t="shared" ref="B122:M122" si="74">SUM(B123:B125)</f>
        <v>0</v>
      </c>
      <c r="C122" s="44">
        <f t="shared" si="74"/>
        <v>0</v>
      </c>
      <c r="D122" s="44">
        <f t="shared" si="74"/>
        <v>0</v>
      </c>
      <c r="E122" s="44">
        <f t="shared" si="74"/>
        <v>0</v>
      </c>
      <c r="F122" s="44">
        <f t="shared" si="74"/>
        <v>0</v>
      </c>
      <c r="G122" s="44">
        <f t="shared" si="74"/>
        <v>0</v>
      </c>
      <c r="H122" s="44">
        <f t="shared" si="74"/>
        <v>0</v>
      </c>
      <c r="I122" s="44">
        <f t="shared" si="74"/>
        <v>0</v>
      </c>
      <c r="J122" s="44">
        <f t="shared" si="74"/>
        <v>0</v>
      </c>
      <c r="K122" s="44">
        <f t="shared" si="74"/>
        <v>0</v>
      </c>
      <c r="L122" s="44">
        <f t="shared" si="74"/>
        <v>0</v>
      </c>
      <c r="M122" s="44">
        <f t="shared" si="74"/>
        <v>0</v>
      </c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spans="1:27" ht="15.75" customHeight="1" x14ac:dyDescent="0.15">
      <c r="A123" s="59" t="s">
        <v>105</v>
      </c>
      <c r="B123" s="220" t="s">
        <v>138</v>
      </c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spans="1:27" ht="15.75" customHeight="1" x14ac:dyDescent="0.15">
      <c r="A124" s="59" t="s">
        <v>106</v>
      </c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spans="1:27" ht="15.75" customHeight="1" x14ac:dyDescent="0.15">
      <c r="A125" s="59" t="s">
        <v>107</v>
      </c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spans="1:27" ht="15.75" customHeight="1" x14ac:dyDescent="0.1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spans="1:27" ht="15.75" customHeight="1" x14ac:dyDescent="0.15">
      <c r="A127" s="44" t="s">
        <v>108</v>
      </c>
      <c r="B127" s="51">
        <f t="shared" ref="B127:M127" si="75">SUM(B128:B130)</f>
        <v>0</v>
      </c>
      <c r="C127" s="44">
        <f t="shared" si="75"/>
        <v>0</v>
      </c>
      <c r="D127" s="44">
        <f t="shared" si="75"/>
        <v>0</v>
      </c>
      <c r="E127" s="44">
        <f t="shared" si="75"/>
        <v>0</v>
      </c>
      <c r="F127" s="44">
        <f t="shared" si="75"/>
        <v>0</v>
      </c>
      <c r="G127" s="44">
        <f t="shared" si="75"/>
        <v>0</v>
      </c>
      <c r="H127" s="44">
        <f t="shared" si="75"/>
        <v>0</v>
      </c>
      <c r="I127" s="44">
        <f t="shared" si="75"/>
        <v>0</v>
      </c>
      <c r="J127" s="44">
        <f t="shared" si="75"/>
        <v>0</v>
      </c>
      <c r="K127" s="44">
        <f t="shared" si="75"/>
        <v>0</v>
      </c>
      <c r="L127" s="44">
        <f t="shared" si="75"/>
        <v>0</v>
      </c>
      <c r="M127" s="44">
        <f t="shared" si="75"/>
        <v>0</v>
      </c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spans="1:27" ht="15.75" customHeight="1" x14ac:dyDescent="0.15">
      <c r="A128" s="59" t="s">
        <v>105</v>
      </c>
      <c r="B128" s="220" t="s">
        <v>138</v>
      </c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spans="1:27" ht="15.75" customHeight="1" x14ac:dyDescent="0.15">
      <c r="A129" s="59" t="s">
        <v>106</v>
      </c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spans="1:27" ht="15.75" customHeight="1" x14ac:dyDescent="0.15">
      <c r="A130" s="59" t="s">
        <v>107</v>
      </c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spans="1:27" ht="15.75" customHeight="1" x14ac:dyDescent="0.1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spans="1:27" ht="15.75" customHeight="1" x14ac:dyDescent="0.1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spans="1:27" ht="15.75" customHeight="1" x14ac:dyDescent="0.1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spans="1:27" ht="15.75" customHeight="1" x14ac:dyDescent="0.1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spans="1:27" ht="15.75" customHeight="1" x14ac:dyDescent="0.1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spans="1:27" ht="15.75" customHeight="1" x14ac:dyDescent="0.1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spans="1:27" ht="15.75" customHeight="1" x14ac:dyDescent="0.1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spans="1:27" ht="15.75" customHeight="1" x14ac:dyDescent="0.1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spans="1:27" ht="15.75" customHeight="1" x14ac:dyDescent="0.1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spans="1:27" ht="15.75" customHeight="1" x14ac:dyDescent="0.1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spans="1:27" ht="15.75" customHeight="1" x14ac:dyDescent="0.1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spans="1:27" ht="15.75" customHeight="1" x14ac:dyDescent="0.1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spans="1:27" ht="15.75" customHeight="1" x14ac:dyDescent="0.1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spans="1:27" ht="15.75" customHeight="1" x14ac:dyDescent="0.1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spans="1:27" ht="15.75" customHeight="1" x14ac:dyDescent="0.1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spans="1:27" ht="15.75" customHeight="1" x14ac:dyDescent="0.1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spans="1:27" ht="15.75" customHeight="1" x14ac:dyDescent="0.1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spans="1:27" ht="15.75" customHeight="1" x14ac:dyDescent="0.1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spans="1:27" ht="15.75" customHeight="1" x14ac:dyDescent="0.1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spans="1:27" ht="15.75" customHeight="1" x14ac:dyDescent="0.1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spans="1:27" ht="15.75" customHeight="1" x14ac:dyDescent="0.1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spans="1:27" ht="15.75" customHeight="1" x14ac:dyDescent="0.1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spans="1:27" ht="15.75" customHeight="1" x14ac:dyDescent="0.1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spans="1:27" ht="15.75" customHeight="1" x14ac:dyDescent="0.1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spans="1:27" ht="15.75" customHeight="1" x14ac:dyDescent="0.1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spans="1:27" ht="15.75" customHeight="1" x14ac:dyDescent="0.1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spans="1:27" ht="15.75" customHeight="1" x14ac:dyDescent="0.1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spans="1:27" ht="15.75" customHeight="1" x14ac:dyDescent="0.1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spans="1:27" ht="15.75" customHeight="1" x14ac:dyDescent="0.1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spans="1:27" ht="15.75" customHeight="1" x14ac:dyDescent="0.1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spans="1:27" ht="15.75" customHeight="1" x14ac:dyDescent="0.1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spans="1:27" ht="15.75" customHeight="1" x14ac:dyDescent="0.1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spans="1:27" ht="15.75" customHeight="1" x14ac:dyDescent="0.1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spans="1:27" ht="15.75" customHeight="1" x14ac:dyDescent="0.1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spans="1:27" ht="15.75" customHeight="1" x14ac:dyDescent="0.1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spans="1:27" ht="15.75" customHeight="1" x14ac:dyDescent="0.1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spans="1:27" ht="15.75" customHeight="1" x14ac:dyDescent="0.1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spans="1:27" ht="15.75" customHeight="1" x14ac:dyDescent="0.1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spans="1:27" ht="15.75" customHeight="1" x14ac:dyDescent="0.1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spans="1:27" ht="15.75" customHeight="1" x14ac:dyDescent="0.1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spans="1:27" ht="15.75" customHeight="1" x14ac:dyDescent="0.1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spans="1:27" ht="15.75" customHeight="1" x14ac:dyDescent="0.1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spans="1:27" ht="15.75" customHeight="1" x14ac:dyDescent="0.1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spans="1:27" ht="15.75" customHeight="1" x14ac:dyDescent="0.1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spans="1:27" ht="15.75" customHeight="1" x14ac:dyDescent="0.1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spans="1:27" ht="15.75" customHeight="1" x14ac:dyDescent="0.1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spans="1:27" ht="15.75" customHeight="1" x14ac:dyDescent="0.1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spans="1:27" ht="15.75" customHeight="1" x14ac:dyDescent="0.1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spans="1:27" ht="15.75" customHeight="1" x14ac:dyDescent="0.1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spans="1:27" ht="15.75" customHeight="1" x14ac:dyDescent="0.1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spans="1:27" ht="15.75" customHeight="1" x14ac:dyDescent="0.1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spans="1:27" ht="15.75" customHeight="1" x14ac:dyDescent="0.1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spans="1:27" ht="15.75" customHeight="1" x14ac:dyDescent="0.1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spans="1:27" ht="15.75" customHeight="1" x14ac:dyDescent="0.1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spans="1:27" ht="15.75" customHeight="1" x14ac:dyDescent="0.1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spans="1:27" ht="15.75" customHeight="1" x14ac:dyDescent="0.1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spans="1:27" ht="15.75" customHeight="1" x14ac:dyDescent="0.1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spans="1:27" ht="15.75" customHeight="1" x14ac:dyDescent="0.1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spans="1:27" ht="15.75" customHeight="1" x14ac:dyDescent="0.1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spans="1:27" ht="15.75" customHeight="1" x14ac:dyDescent="0.1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spans="1:27" ht="15.75" customHeight="1" x14ac:dyDescent="0.1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spans="1:27" ht="15.75" customHeight="1" x14ac:dyDescent="0.1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spans="1:27" ht="15.75" customHeight="1" x14ac:dyDescent="0.1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spans="1:27" ht="15.75" customHeight="1" x14ac:dyDescent="0.1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spans="1:27" ht="15.75" customHeight="1" x14ac:dyDescent="0.1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spans="1:27" ht="15.75" customHeight="1" x14ac:dyDescent="0.1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spans="1:27" ht="15.75" customHeight="1" x14ac:dyDescent="0.1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spans="1:27" ht="15.75" customHeight="1" x14ac:dyDescent="0.1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spans="1:27" ht="15.75" customHeight="1" x14ac:dyDescent="0.1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spans="1:27" ht="15.75" customHeight="1" x14ac:dyDescent="0.1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spans="1:27" ht="15.75" customHeight="1" x14ac:dyDescent="0.1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spans="1:27" ht="15.75" customHeight="1" x14ac:dyDescent="0.1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spans="1:27" ht="15.75" customHeight="1" x14ac:dyDescent="0.1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spans="1:27" ht="15.75" customHeight="1" x14ac:dyDescent="0.1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spans="1:27" ht="15.75" customHeight="1" x14ac:dyDescent="0.1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spans="1:27" ht="15.75" customHeight="1" x14ac:dyDescent="0.1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spans="1:27" ht="15.75" customHeight="1" x14ac:dyDescent="0.1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spans="1:27" ht="15.75" customHeight="1" x14ac:dyDescent="0.1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spans="1:27" ht="15.75" customHeight="1" x14ac:dyDescent="0.1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spans="1:27" ht="15.75" customHeight="1" x14ac:dyDescent="0.1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spans="1:27" ht="15.75" customHeight="1" x14ac:dyDescent="0.1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spans="1:27" ht="15.75" customHeight="1" x14ac:dyDescent="0.1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spans="1:27" ht="15.75" customHeight="1" x14ac:dyDescent="0.1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spans="1:27" ht="15.75" customHeight="1" x14ac:dyDescent="0.1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spans="1:27" ht="15.75" customHeight="1" x14ac:dyDescent="0.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spans="1:27" ht="15.75" customHeight="1" x14ac:dyDescent="0.1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spans="1:27" ht="15.75" customHeight="1" x14ac:dyDescent="0.1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spans="1:27" ht="15.75" customHeight="1" x14ac:dyDescent="0.1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spans="1:27" ht="15.75" customHeight="1" x14ac:dyDescent="0.1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spans="1:27" ht="15.75" customHeight="1" x14ac:dyDescent="0.1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spans="1:27" ht="15.75" customHeight="1" x14ac:dyDescent="0.1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spans="1:27" ht="15.75" customHeight="1" x14ac:dyDescent="0.1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spans="1:27" ht="15.75" customHeight="1" x14ac:dyDescent="0.1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spans="1:27" ht="15.75" customHeight="1" x14ac:dyDescent="0.1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spans="1:27" ht="15.75" customHeight="1" x14ac:dyDescent="0.1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spans="1:27" ht="15.75" customHeight="1" x14ac:dyDescent="0.1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spans="1:27" ht="15.75" customHeight="1" x14ac:dyDescent="0.1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spans="1:27" ht="15.75" customHeight="1" x14ac:dyDescent="0.1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spans="1:27" ht="15.75" customHeight="1" x14ac:dyDescent="0.1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spans="1:27" ht="15.75" customHeight="1" x14ac:dyDescent="0.1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spans="1:27" ht="15.75" customHeight="1" x14ac:dyDescent="0.1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spans="1:27" ht="15.75" customHeight="1" x14ac:dyDescent="0.1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spans="1:27" ht="15.75" customHeight="1" x14ac:dyDescent="0.1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spans="1:27" ht="15.75" customHeight="1" x14ac:dyDescent="0.1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spans="1:27" ht="15.75" customHeight="1" x14ac:dyDescent="0.1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spans="1:27" ht="15.75" customHeight="1" x14ac:dyDescent="0.1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spans="1:27" ht="15.75" customHeight="1" x14ac:dyDescent="0.1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spans="1:27" ht="15.75" customHeight="1" x14ac:dyDescent="0.1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spans="1:27" ht="15.75" customHeight="1" x14ac:dyDescent="0.1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spans="1:27" ht="15.75" customHeight="1" x14ac:dyDescent="0.1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spans="1:27" ht="15.75" customHeight="1" x14ac:dyDescent="0.1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spans="1:27" ht="15.75" customHeight="1" x14ac:dyDescent="0.1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spans="1:27" ht="15.75" customHeight="1" x14ac:dyDescent="0.1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spans="1:27" ht="15.75" customHeight="1" x14ac:dyDescent="0.1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spans="1:27" ht="15.75" customHeight="1" x14ac:dyDescent="0.1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spans="1:27" ht="15.75" customHeight="1" x14ac:dyDescent="0.1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spans="1:27" ht="15.75" customHeight="1" x14ac:dyDescent="0.1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spans="1:27" ht="15.75" customHeight="1" x14ac:dyDescent="0.1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spans="1:27" ht="15.75" customHeight="1" x14ac:dyDescent="0.1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spans="1:27" ht="15.75" customHeight="1" x14ac:dyDescent="0.1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spans="1:27" ht="15.75" customHeight="1" x14ac:dyDescent="0.1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spans="1:27" ht="15.75" customHeight="1" x14ac:dyDescent="0.1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spans="1:27" ht="15.75" customHeight="1" x14ac:dyDescent="0.1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spans="1:27" ht="15.75" customHeight="1" x14ac:dyDescent="0.1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spans="1:27" ht="15.75" customHeight="1" x14ac:dyDescent="0.1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spans="1:27" ht="15.75" customHeight="1" x14ac:dyDescent="0.1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spans="1:27" ht="15.75" customHeight="1" x14ac:dyDescent="0.1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spans="1:27" ht="15.75" customHeight="1" x14ac:dyDescent="0.1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spans="1:27" ht="15.75" customHeight="1" x14ac:dyDescent="0.1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spans="1:27" ht="15.75" customHeight="1" x14ac:dyDescent="0.1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spans="1:27" ht="15.75" customHeight="1" x14ac:dyDescent="0.1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spans="1:27" ht="15.75" customHeight="1" x14ac:dyDescent="0.1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spans="1:27" ht="15.75" customHeight="1" x14ac:dyDescent="0.1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spans="1:27" ht="15.75" customHeight="1" x14ac:dyDescent="0.1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spans="1:27" ht="15.75" customHeight="1" x14ac:dyDescent="0.1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spans="1:27" ht="15.75" customHeight="1" x14ac:dyDescent="0.1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spans="1:27" ht="15.75" customHeight="1" x14ac:dyDescent="0.1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spans="1:27" ht="15.75" customHeight="1" x14ac:dyDescent="0.1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spans="1:27" ht="15.75" customHeight="1" x14ac:dyDescent="0.1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spans="1:27" ht="15.75" customHeight="1" x14ac:dyDescent="0.1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spans="1:27" ht="15.75" customHeight="1" x14ac:dyDescent="0.1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spans="1:27" ht="15.75" customHeight="1" x14ac:dyDescent="0.1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spans="1:27" ht="15.75" customHeight="1" x14ac:dyDescent="0.1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spans="1:27" ht="15.75" customHeight="1" x14ac:dyDescent="0.1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spans="1:27" ht="15.75" customHeight="1" x14ac:dyDescent="0.1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spans="1:27" ht="15.75" customHeight="1" x14ac:dyDescent="0.1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spans="1:27" ht="15.75" customHeight="1" x14ac:dyDescent="0.1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spans="1:27" ht="15.75" customHeight="1" x14ac:dyDescent="0.1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spans="1:27" ht="15.75" customHeight="1" x14ac:dyDescent="0.1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spans="1:27" ht="15.75" customHeight="1" x14ac:dyDescent="0.1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spans="1:27" ht="15.75" customHeight="1" x14ac:dyDescent="0.1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spans="1:27" ht="15.75" customHeight="1" x14ac:dyDescent="0.1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spans="1:27" ht="15.75" customHeight="1" x14ac:dyDescent="0.1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spans="1:27" ht="15.75" customHeight="1" x14ac:dyDescent="0.1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spans="1:27" ht="15.75" customHeight="1" x14ac:dyDescent="0.1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spans="1:27" ht="15.75" customHeight="1" x14ac:dyDescent="0.1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spans="1:27" ht="15.75" customHeight="1" x14ac:dyDescent="0.1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spans="1:27" ht="15.75" customHeight="1" x14ac:dyDescent="0.1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spans="1:27" ht="15.75" customHeight="1" x14ac:dyDescent="0.1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spans="1:27" ht="15.75" customHeight="1" x14ac:dyDescent="0.1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spans="1:27" ht="15.75" customHeight="1" x14ac:dyDescent="0.1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spans="1:27" ht="15.75" customHeight="1" x14ac:dyDescent="0.1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spans="1:27" ht="15.75" customHeight="1" x14ac:dyDescent="0.1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spans="1:27" ht="15.75" customHeight="1" x14ac:dyDescent="0.1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spans="1:27" ht="15.75" customHeight="1" x14ac:dyDescent="0.1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spans="1:27" ht="15.75" customHeight="1" x14ac:dyDescent="0.1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spans="1:27" ht="15.75" customHeight="1" x14ac:dyDescent="0.1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spans="1:27" ht="15.75" customHeight="1" x14ac:dyDescent="0.1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spans="1:27" ht="15.75" customHeight="1" x14ac:dyDescent="0.1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spans="1:27" ht="15.75" customHeight="1" x14ac:dyDescent="0.1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spans="1:27" ht="15.75" customHeight="1" x14ac:dyDescent="0.1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spans="1:27" ht="15.75" customHeight="1" x14ac:dyDescent="0.1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spans="1:27" ht="15.75" customHeight="1" x14ac:dyDescent="0.1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spans="1:27" ht="15.75" customHeight="1" x14ac:dyDescent="0.1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spans="1:27" ht="15.75" customHeight="1" x14ac:dyDescent="0.1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spans="1:27" ht="15.75" customHeight="1" x14ac:dyDescent="0.1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spans="1:27" ht="15.75" customHeight="1" x14ac:dyDescent="0.1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spans="1:27" ht="15.75" customHeight="1" x14ac:dyDescent="0.1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spans="1:27" ht="15.75" customHeight="1" x14ac:dyDescent="0.1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spans="1:27" ht="15.75" customHeight="1" x14ac:dyDescent="0.1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spans="1:27" ht="15.75" customHeight="1" x14ac:dyDescent="0.1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spans="1:27" ht="15.75" customHeight="1" x14ac:dyDescent="0.1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spans="1:27" ht="15.75" customHeight="1" x14ac:dyDescent="0.1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spans="1:27" ht="15.75" customHeight="1" x14ac:dyDescent="0.1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spans="1:27" ht="15.75" customHeight="1" x14ac:dyDescent="0.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spans="1:27" ht="15.75" customHeight="1" x14ac:dyDescent="0.1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spans="1:27" ht="15.75" customHeight="1" x14ac:dyDescent="0.1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spans="1:27" ht="15.75" customHeight="1" x14ac:dyDescent="0.1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spans="1:27" ht="15.75" customHeight="1" x14ac:dyDescent="0.1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spans="1:27" ht="15.75" customHeight="1" x14ac:dyDescent="0.1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spans="1:27" ht="15.75" customHeight="1" x14ac:dyDescent="0.1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spans="1:27" ht="15.75" customHeight="1" x14ac:dyDescent="0.1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spans="1:27" ht="15.75" customHeight="1" x14ac:dyDescent="0.1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spans="1:27" ht="15.75" customHeight="1" x14ac:dyDescent="0.1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spans="1:27" ht="15.75" customHeight="1" x14ac:dyDescent="0.1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spans="1:27" ht="15.75" customHeight="1" x14ac:dyDescent="0.1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spans="1:27" ht="15.75" customHeight="1" x14ac:dyDescent="0.1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spans="1:27" ht="15.75" customHeight="1" x14ac:dyDescent="0.1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spans="1:27" ht="15.75" customHeight="1" x14ac:dyDescent="0.1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spans="1:27" ht="15.75" customHeight="1" x14ac:dyDescent="0.1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spans="1:27" ht="15.75" customHeight="1" x14ac:dyDescent="0.15"/>
    <row r="332" spans="1:27" ht="15.75" customHeight="1" x14ac:dyDescent="0.15"/>
    <row r="333" spans="1:27" ht="15.75" customHeight="1" x14ac:dyDescent="0.15"/>
    <row r="334" spans="1:27" ht="15.75" customHeight="1" x14ac:dyDescent="0.15"/>
    <row r="335" spans="1:27" ht="15.75" customHeight="1" x14ac:dyDescent="0.15"/>
    <row r="336" spans="1:27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7">
    <mergeCell ref="B123:M125"/>
    <mergeCell ref="B128:M130"/>
    <mergeCell ref="H35:J35"/>
    <mergeCell ref="K35:M35"/>
    <mergeCell ref="P37:R37"/>
    <mergeCell ref="K2:M2"/>
    <mergeCell ref="A34:M34"/>
    <mergeCell ref="Y37:AA37"/>
    <mergeCell ref="B112:M114"/>
    <mergeCell ref="B117:M119"/>
    <mergeCell ref="S37:U37"/>
    <mergeCell ref="V37:X37"/>
    <mergeCell ref="B35:D35"/>
    <mergeCell ref="E35:G35"/>
    <mergeCell ref="B2:D2"/>
    <mergeCell ref="E2:G2"/>
    <mergeCell ref="H2:J2"/>
  </mergeCells>
  <conditionalFormatting sqref="B14:B2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41:AA41">
    <cfRule type="colorScale" priority="3">
      <colorScale>
        <cfvo type="min"/>
        <cfvo type="max"/>
        <color rgb="FFFFFFFF"/>
        <color rgb="FFFFD666"/>
      </colorScale>
    </cfRule>
  </conditionalFormatting>
  <conditionalFormatting sqref="P43:AA43">
    <cfRule type="colorScale" priority="2">
      <colorScale>
        <cfvo type="min"/>
        <cfvo type="max"/>
        <color rgb="FFFFFFFF"/>
        <color rgb="FF57BB8A"/>
      </colorScale>
    </cfRule>
  </conditionalFormatting>
  <conditionalFormatting sqref="P44:AA44">
    <cfRule type="colorScale" priority="4">
      <colorScale>
        <cfvo type="min"/>
        <cfvo type="max"/>
        <color rgb="FFFFFFFF"/>
        <color rgb="FFFFD666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" customHeight="1" x14ac:dyDescent="0.15"/>
  <cols>
    <col min="1" max="1" width="3.83203125" customWidth="1"/>
    <col min="2" max="2" width="41" customWidth="1"/>
    <col min="3" max="3" width="27.33203125" hidden="1" customWidth="1"/>
    <col min="4" max="9" width="17.6640625" customWidth="1"/>
  </cols>
  <sheetData>
    <row r="1" spans="1:26" ht="16.5" customHeight="1" x14ac:dyDescent="0.2">
      <c r="A1" s="75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37.5" customHeight="1" x14ac:dyDescent="0.2">
      <c r="A2" s="78"/>
      <c r="B2" s="221" t="s">
        <v>139</v>
      </c>
      <c r="C2" s="215"/>
      <c r="D2" s="215"/>
      <c r="E2" s="215"/>
      <c r="F2" s="215"/>
      <c r="G2" s="215"/>
      <c r="H2" s="215"/>
      <c r="I2" s="216"/>
      <c r="J2" s="79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6.5" customHeight="1" x14ac:dyDescent="0.2">
      <c r="A3" s="77"/>
      <c r="B3" s="80"/>
      <c r="C3" s="81"/>
      <c r="D3" s="82"/>
      <c r="E3" s="83"/>
      <c r="F3" s="83"/>
      <c r="G3" s="83"/>
      <c r="H3" s="83"/>
      <c r="I3" s="83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6.5" customHeight="1" x14ac:dyDescent="0.2">
      <c r="A4" s="77"/>
      <c r="B4" s="80"/>
      <c r="C4" s="84"/>
      <c r="D4" s="222" t="s">
        <v>140</v>
      </c>
      <c r="E4" s="223"/>
      <c r="F4" s="224"/>
      <c r="G4" s="225" t="s">
        <v>141</v>
      </c>
      <c r="H4" s="223"/>
      <c r="I4" s="226"/>
      <c r="J4" s="79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6.5" customHeight="1" x14ac:dyDescent="0.2">
      <c r="A5" s="77"/>
      <c r="B5" s="76"/>
      <c r="C5" s="85"/>
      <c r="D5" s="86" t="s">
        <v>71</v>
      </c>
      <c r="E5" s="87" t="s">
        <v>72</v>
      </c>
      <c r="F5" s="87" t="s">
        <v>73</v>
      </c>
      <c r="G5" s="87" t="s">
        <v>74</v>
      </c>
      <c r="H5" s="87" t="s">
        <v>75</v>
      </c>
      <c r="I5" s="88" t="s">
        <v>76</v>
      </c>
      <c r="J5" s="79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5.75" customHeight="1" x14ac:dyDescent="0.2">
      <c r="A6" s="89"/>
      <c r="B6" s="90" t="s">
        <v>142</v>
      </c>
      <c r="C6" s="91" t="s">
        <v>5</v>
      </c>
      <c r="D6" s="92">
        <f t="shared" ref="D6:I6" si="0">SUM(D7:D9)</f>
        <v>182500</v>
      </c>
      <c r="E6" s="92">
        <f t="shared" si="0"/>
        <v>139000</v>
      </c>
      <c r="F6" s="92">
        <f t="shared" si="0"/>
        <v>186520</v>
      </c>
      <c r="G6" s="92">
        <f t="shared" si="0"/>
        <v>215440</v>
      </c>
      <c r="H6" s="92">
        <f t="shared" si="0"/>
        <v>157000</v>
      </c>
      <c r="I6" s="93">
        <f t="shared" si="0"/>
        <v>175000</v>
      </c>
      <c r="J6" s="79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5.75" customHeight="1" x14ac:dyDescent="0.2">
      <c r="A7" s="89"/>
      <c r="B7" s="94" t="s">
        <v>61</v>
      </c>
      <c r="C7" s="95"/>
      <c r="D7" s="96">
        <v>82500</v>
      </c>
      <c r="E7" s="96">
        <v>57000</v>
      </c>
      <c r="F7" s="96">
        <v>97380</v>
      </c>
      <c r="G7" s="96">
        <v>108440</v>
      </c>
      <c r="H7" s="96">
        <v>70000</v>
      </c>
      <c r="I7" s="97">
        <v>78000</v>
      </c>
      <c r="J7" s="79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5.75" customHeight="1" x14ac:dyDescent="0.2">
      <c r="A8" s="89"/>
      <c r="B8" s="98" t="s">
        <v>62</v>
      </c>
      <c r="C8" s="99"/>
      <c r="D8" s="96">
        <v>50000</v>
      </c>
      <c r="E8" s="96">
        <v>38000</v>
      </c>
      <c r="F8" s="96">
        <v>64340</v>
      </c>
      <c r="G8" s="96">
        <v>87000</v>
      </c>
      <c r="H8" s="96">
        <v>45000</v>
      </c>
      <c r="I8" s="97">
        <v>47000</v>
      </c>
      <c r="J8" s="79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5.75" customHeight="1" x14ac:dyDescent="0.2">
      <c r="A9" s="89"/>
      <c r="B9" s="98" t="s">
        <v>63</v>
      </c>
      <c r="C9" s="99"/>
      <c r="D9" s="96">
        <v>50000</v>
      </c>
      <c r="E9" s="96">
        <v>44000</v>
      </c>
      <c r="F9" s="96">
        <v>24800</v>
      </c>
      <c r="G9" s="96">
        <v>20000</v>
      </c>
      <c r="H9" s="96">
        <v>42000</v>
      </c>
      <c r="I9" s="97">
        <v>50000</v>
      </c>
      <c r="J9" s="79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5.75" customHeight="1" x14ac:dyDescent="0.2">
      <c r="A10" s="89"/>
      <c r="B10" s="100"/>
      <c r="C10" s="101"/>
      <c r="D10" s="92"/>
      <c r="E10" s="92"/>
      <c r="F10" s="92"/>
      <c r="G10" s="92"/>
      <c r="H10" s="92"/>
      <c r="I10" s="93"/>
      <c r="J10" s="79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5.75" customHeight="1" x14ac:dyDescent="0.2">
      <c r="A11" s="89"/>
      <c r="B11" s="90" t="s">
        <v>143</v>
      </c>
      <c r="C11" s="91" t="s">
        <v>14</v>
      </c>
      <c r="D11" s="92">
        <f t="shared" ref="D11:I11" si="1">SUM(D12:D14)</f>
        <v>13870</v>
      </c>
      <c r="E11" s="92">
        <f t="shared" si="1"/>
        <v>10564</v>
      </c>
      <c r="F11" s="92">
        <f t="shared" si="1"/>
        <v>14175.52</v>
      </c>
      <c r="G11" s="92">
        <f t="shared" si="1"/>
        <v>16373.439999999999</v>
      </c>
      <c r="H11" s="92">
        <f t="shared" si="1"/>
        <v>11932</v>
      </c>
      <c r="I11" s="93">
        <f t="shared" si="1"/>
        <v>13300</v>
      </c>
      <c r="J11" s="79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.75" customHeight="1" x14ac:dyDescent="0.2">
      <c r="A12" s="89"/>
      <c r="B12" s="94" t="s">
        <v>144</v>
      </c>
      <c r="C12" s="95"/>
      <c r="D12" s="96">
        <f t="shared" ref="D12:I12" si="2">0.65%*D6</f>
        <v>1186.25</v>
      </c>
      <c r="E12" s="96">
        <f t="shared" si="2"/>
        <v>903.50000000000011</v>
      </c>
      <c r="F12" s="96">
        <f t="shared" si="2"/>
        <v>1212.3800000000001</v>
      </c>
      <c r="G12" s="96">
        <f t="shared" si="2"/>
        <v>1400.3600000000001</v>
      </c>
      <c r="H12" s="96">
        <f t="shared" si="2"/>
        <v>1020.5000000000001</v>
      </c>
      <c r="I12" s="97">
        <f t="shared" si="2"/>
        <v>1137.5</v>
      </c>
      <c r="J12" s="79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5.75" customHeight="1" x14ac:dyDescent="0.2">
      <c r="A13" s="89"/>
      <c r="B13" s="98" t="s">
        <v>145</v>
      </c>
      <c r="C13" s="99"/>
      <c r="D13" s="96">
        <f t="shared" ref="D13:I13" si="3">3%*D6</f>
        <v>5475</v>
      </c>
      <c r="E13" s="96">
        <f t="shared" si="3"/>
        <v>4170</v>
      </c>
      <c r="F13" s="96">
        <f t="shared" si="3"/>
        <v>5595.5999999999995</v>
      </c>
      <c r="G13" s="96">
        <f t="shared" si="3"/>
        <v>6463.2</v>
      </c>
      <c r="H13" s="96">
        <f t="shared" si="3"/>
        <v>4710</v>
      </c>
      <c r="I13" s="97">
        <f t="shared" si="3"/>
        <v>5250</v>
      </c>
      <c r="J13" s="79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5.75" customHeight="1" x14ac:dyDescent="0.2">
      <c r="A14" s="89"/>
      <c r="B14" s="98" t="s">
        <v>146</v>
      </c>
      <c r="C14" s="99"/>
      <c r="D14" s="96">
        <f t="shared" ref="D14:I14" si="4">3.95%*D6</f>
        <v>7208.75</v>
      </c>
      <c r="E14" s="96">
        <f t="shared" si="4"/>
        <v>5490.5</v>
      </c>
      <c r="F14" s="96">
        <f t="shared" si="4"/>
        <v>7367.54</v>
      </c>
      <c r="G14" s="96">
        <f t="shared" si="4"/>
        <v>8509.8799999999992</v>
      </c>
      <c r="H14" s="96">
        <f t="shared" si="4"/>
        <v>6201.5</v>
      </c>
      <c r="I14" s="97">
        <f t="shared" si="4"/>
        <v>6912.5</v>
      </c>
      <c r="J14" s="79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5.75" customHeight="1" x14ac:dyDescent="0.2">
      <c r="A15" s="89"/>
      <c r="B15" s="100"/>
      <c r="C15" s="101"/>
      <c r="D15" s="92"/>
      <c r="E15" s="92"/>
      <c r="F15" s="92"/>
      <c r="G15" s="92"/>
      <c r="H15" s="92"/>
      <c r="I15" s="93"/>
      <c r="J15" s="79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5.75" customHeight="1" x14ac:dyDescent="0.2">
      <c r="A16" s="89"/>
      <c r="B16" s="90" t="s">
        <v>147</v>
      </c>
      <c r="C16" s="91" t="s">
        <v>10</v>
      </c>
      <c r="D16" s="92">
        <f t="shared" ref="D16:I16" si="5">SUM(D17:D18)</f>
        <v>5700</v>
      </c>
      <c r="E16" s="92">
        <f t="shared" si="5"/>
        <v>2500</v>
      </c>
      <c r="F16" s="92">
        <f t="shared" si="5"/>
        <v>6800</v>
      </c>
      <c r="G16" s="92">
        <f t="shared" si="5"/>
        <v>5700</v>
      </c>
      <c r="H16" s="92">
        <f t="shared" si="5"/>
        <v>5700</v>
      </c>
      <c r="I16" s="93">
        <f t="shared" si="5"/>
        <v>5700</v>
      </c>
      <c r="J16" s="79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5.75" customHeight="1" x14ac:dyDescent="0.2">
      <c r="A17" s="89"/>
      <c r="B17" s="94" t="s">
        <v>11</v>
      </c>
      <c r="C17" s="95"/>
      <c r="D17" s="96">
        <v>0</v>
      </c>
      <c r="E17" s="96">
        <v>0</v>
      </c>
      <c r="F17" s="96">
        <v>0</v>
      </c>
      <c r="G17" s="96">
        <v>0</v>
      </c>
      <c r="H17" s="96">
        <v>0</v>
      </c>
      <c r="I17" s="97">
        <v>0</v>
      </c>
      <c r="J17" s="79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5.75" customHeight="1" x14ac:dyDescent="0.2">
      <c r="A18" s="89"/>
      <c r="B18" s="98" t="s">
        <v>12</v>
      </c>
      <c r="C18" s="99"/>
      <c r="D18" s="96">
        <v>5700</v>
      </c>
      <c r="E18" s="96">
        <v>2500</v>
      </c>
      <c r="F18" s="96">
        <v>6800</v>
      </c>
      <c r="G18" s="96">
        <v>5700</v>
      </c>
      <c r="H18" s="96">
        <v>5700</v>
      </c>
      <c r="I18" s="97">
        <v>5700</v>
      </c>
      <c r="J18" s="79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.75" customHeight="1" x14ac:dyDescent="0.2">
      <c r="A19" s="89"/>
      <c r="B19" s="102"/>
      <c r="C19" s="41"/>
      <c r="D19" s="96"/>
      <c r="E19" s="96"/>
      <c r="F19" s="96"/>
      <c r="G19" s="96"/>
      <c r="H19" s="96"/>
      <c r="I19" s="97"/>
      <c r="J19" s="79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5.75" customHeight="1" x14ac:dyDescent="0.2">
      <c r="A20" s="89"/>
      <c r="B20" s="90" t="s">
        <v>148</v>
      </c>
      <c r="C20" s="91" t="s">
        <v>18</v>
      </c>
      <c r="D20" s="92">
        <f t="shared" ref="D20:I20" si="6">D6-D11-D16</f>
        <v>162930</v>
      </c>
      <c r="E20" s="92">
        <f t="shared" si="6"/>
        <v>125936</v>
      </c>
      <c r="F20" s="92">
        <f t="shared" si="6"/>
        <v>165544.48000000001</v>
      </c>
      <c r="G20" s="92">
        <f t="shared" si="6"/>
        <v>193366.56</v>
      </c>
      <c r="H20" s="92">
        <f t="shared" si="6"/>
        <v>139368</v>
      </c>
      <c r="I20" s="93">
        <f t="shared" si="6"/>
        <v>156000</v>
      </c>
      <c r="J20" s="79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5.75" customHeight="1" x14ac:dyDescent="0.2">
      <c r="A21" s="89"/>
      <c r="B21" s="103"/>
      <c r="C21" s="41"/>
      <c r="D21" s="92"/>
      <c r="E21" s="92"/>
      <c r="F21" s="92"/>
      <c r="G21" s="92"/>
      <c r="H21" s="92"/>
      <c r="I21" s="93"/>
      <c r="J21" s="79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5.75" customHeight="1" x14ac:dyDescent="0.2">
      <c r="A22" s="89"/>
      <c r="B22" s="104" t="s">
        <v>149</v>
      </c>
      <c r="C22" s="91" t="s">
        <v>20</v>
      </c>
      <c r="D22" s="92">
        <f t="shared" ref="D22:I22" si="7">SUM(D23:D25)</f>
        <v>40700</v>
      </c>
      <c r="E22" s="92">
        <f t="shared" si="7"/>
        <v>33380</v>
      </c>
      <c r="F22" s="92">
        <f t="shared" si="7"/>
        <v>44200</v>
      </c>
      <c r="G22" s="92">
        <f t="shared" si="7"/>
        <v>51350</v>
      </c>
      <c r="H22" s="92">
        <f t="shared" si="7"/>
        <v>37060</v>
      </c>
      <c r="I22" s="93">
        <f t="shared" si="7"/>
        <v>42260</v>
      </c>
      <c r="J22" s="79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5.75" customHeight="1" x14ac:dyDescent="0.2">
      <c r="A23" s="89"/>
      <c r="B23" s="94" t="s">
        <v>61</v>
      </c>
      <c r="C23" s="105"/>
      <c r="D23" s="96">
        <v>24400</v>
      </c>
      <c r="E23" s="96">
        <v>17000</v>
      </c>
      <c r="F23" s="96">
        <v>26720</v>
      </c>
      <c r="G23" s="96">
        <v>29800</v>
      </c>
      <c r="H23" s="96">
        <v>18560</v>
      </c>
      <c r="I23" s="97">
        <v>21760</v>
      </c>
      <c r="J23" s="79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.75" customHeight="1" x14ac:dyDescent="0.2">
      <c r="A24" s="89"/>
      <c r="B24" s="98" t="s">
        <v>62</v>
      </c>
      <c r="C24" s="106"/>
      <c r="D24" s="96">
        <v>9500</v>
      </c>
      <c r="E24" s="96">
        <v>9800</v>
      </c>
      <c r="F24" s="96">
        <v>10580</v>
      </c>
      <c r="G24" s="96">
        <v>15850</v>
      </c>
      <c r="H24" s="96">
        <v>9400</v>
      </c>
      <c r="I24" s="97">
        <v>10800</v>
      </c>
      <c r="J24" s="79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5.75" customHeight="1" x14ac:dyDescent="0.2">
      <c r="A25" s="89"/>
      <c r="B25" s="98" t="s">
        <v>63</v>
      </c>
      <c r="C25" s="106"/>
      <c r="D25" s="96">
        <v>6800</v>
      </c>
      <c r="E25" s="96">
        <v>6580</v>
      </c>
      <c r="F25" s="96">
        <v>6900</v>
      </c>
      <c r="G25" s="96">
        <v>5700</v>
      </c>
      <c r="H25" s="96">
        <v>9100</v>
      </c>
      <c r="I25" s="97">
        <v>9700</v>
      </c>
      <c r="J25" s="79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5.75" customHeight="1" x14ac:dyDescent="0.2">
      <c r="A26" s="89"/>
      <c r="B26" s="107"/>
      <c r="C26" s="108"/>
      <c r="D26" s="92"/>
      <c r="E26" s="92"/>
      <c r="F26" s="92"/>
      <c r="G26" s="92"/>
      <c r="H26" s="92"/>
      <c r="I26" s="93"/>
      <c r="J26" s="79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5.75" customHeight="1" x14ac:dyDescent="0.2">
      <c r="A27" s="89"/>
      <c r="B27" s="109" t="s">
        <v>150</v>
      </c>
      <c r="C27" s="110" t="s">
        <v>22</v>
      </c>
      <c r="D27" s="92">
        <f t="shared" ref="D27:I27" si="8">D20-D22</f>
        <v>122230</v>
      </c>
      <c r="E27" s="92">
        <f t="shared" si="8"/>
        <v>92556</v>
      </c>
      <c r="F27" s="92">
        <f t="shared" si="8"/>
        <v>121344.48000000001</v>
      </c>
      <c r="G27" s="92">
        <f t="shared" si="8"/>
        <v>142016.56</v>
      </c>
      <c r="H27" s="92">
        <f t="shared" si="8"/>
        <v>102308</v>
      </c>
      <c r="I27" s="93">
        <f t="shared" si="8"/>
        <v>113740</v>
      </c>
      <c r="J27" s="79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5.75" customHeight="1" x14ac:dyDescent="0.2">
      <c r="A28" s="89"/>
      <c r="B28" s="109" t="s">
        <v>23</v>
      </c>
      <c r="C28" s="111" t="s">
        <v>24</v>
      </c>
      <c r="D28" s="112">
        <f t="shared" ref="D28:I28" si="9">D27/D20</f>
        <v>0.75019947216596083</v>
      </c>
      <c r="E28" s="112">
        <f t="shared" si="9"/>
        <v>0.73494473383305803</v>
      </c>
      <c r="F28" s="112">
        <f t="shared" si="9"/>
        <v>0.73300227225939518</v>
      </c>
      <c r="G28" s="112">
        <f t="shared" si="9"/>
        <v>0.73444219103861597</v>
      </c>
      <c r="H28" s="112">
        <f t="shared" si="9"/>
        <v>0.73408529935135758</v>
      </c>
      <c r="I28" s="113">
        <f t="shared" si="9"/>
        <v>0.72910256410256413</v>
      </c>
      <c r="J28" s="79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5.75" customHeight="1" x14ac:dyDescent="0.2">
      <c r="A29" s="89"/>
      <c r="B29" s="107"/>
      <c r="C29" s="114"/>
      <c r="D29" s="115"/>
      <c r="E29" s="115"/>
      <c r="F29" s="115"/>
      <c r="G29" s="115"/>
      <c r="H29" s="115"/>
      <c r="I29" s="116"/>
      <c r="J29" s="79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5.75" customHeight="1" x14ac:dyDescent="0.2">
      <c r="A30" s="89"/>
      <c r="B30" s="109" t="s">
        <v>151</v>
      </c>
      <c r="C30" s="110" t="s">
        <v>26</v>
      </c>
      <c r="D30" s="92">
        <f t="shared" ref="D30:I30" si="10">D31+D38</f>
        <v>57587.5</v>
      </c>
      <c r="E30" s="92">
        <f t="shared" si="10"/>
        <v>56065</v>
      </c>
      <c r="F30" s="92">
        <f t="shared" si="10"/>
        <v>57728.2</v>
      </c>
      <c r="G30" s="92">
        <f t="shared" si="10"/>
        <v>58740.4</v>
      </c>
      <c r="H30" s="92">
        <f t="shared" si="10"/>
        <v>56695</v>
      </c>
      <c r="I30" s="93">
        <f t="shared" si="10"/>
        <v>57325</v>
      </c>
      <c r="J30" s="79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5.75" customHeight="1" x14ac:dyDescent="0.2">
      <c r="A31" s="89"/>
      <c r="B31" s="109" t="s">
        <v>152</v>
      </c>
      <c r="C31" s="117" t="s">
        <v>28</v>
      </c>
      <c r="D31" s="92">
        <f t="shared" ref="D31:I31" si="11">SUM(D32:D34)</f>
        <v>6387.5</v>
      </c>
      <c r="E31" s="92">
        <f t="shared" si="11"/>
        <v>4865</v>
      </c>
      <c r="F31" s="92">
        <f t="shared" si="11"/>
        <v>6528.2</v>
      </c>
      <c r="G31" s="92">
        <f t="shared" si="11"/>
        <v>7540.4</v>
      </c>
      <c r="H31" s="92">
        <f t="shared" si="11"/>
        <v>5495</v>
      </c>
      <c r="I31" s="93">
        <f t="shared" si="11"/>
        <v>6125</v>
      </c>
      <c r="J31" s="79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5.75" customHeight="1" x14ac:dyDescent="0.2">
      <c r="A32" s="89"/>
      <c r="B32" s="98" t="s">
        <v>153</v>
      </c>
      <c r="C32" s="105"/>
      <c r="D32" s="96">
        <f t="shared" ref="D32:I32" si="12">1.5%*D6</f>
        <v>2737.5</v>
      </c>
      <c r="E32" s="96">
        <f t="shared" si="12"/>
        <v>2085</v>
      </c>
      <c r="F32" s="96">
        <f t="shared" si="12"/>
        <v>2797.7999999999997</v>
      </c>
      <c r="G32" s="96">
        <f t="shared" si="12"/>
        <v>3231.6</v>
      </c>
      <c r="H32" s="96">
        <f t="shared" si="12"/>
        <v>2355</v>
      </c>
      <c r="I32" s="97">
        <f t="shared" si="12"/>
        <v>2625</v>
      </c>
      <c r="J32" s="79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2">
      <c r="A33" s="89"/>
      <c r="B33" s="98" t="s">
        <v>154</v>
      </c>
      <c r="C33" s="106"/>
      <c r="D33" s="96">
        <f t="shared" ref="D33:I33" si="13">2%*D6</f>
        <v>3650</v>
      </c>
      <c r="E33" s="96">
        <f t="shared" si="13"/>
        <v>2780</v>
      </c>
      <c r="F33" s="96">
        <f t="shared" si="13"/>
        <v>3730.4</v>
      </c>
      <c r="G33" s="96">
        <f t="shared" si="13"/>
        <v>4308.8</v>
      </c>
      <c r="H33" s="96">
        <f t="shared" si="13"/>
        <v>3140</v>
      </c>
      <c r="I33" s="97">
        <f t="shared" si="13"/>
        <v>3500</v>
      </c>
      <c r="J33" s="79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75" customHeight="1" x14ac:dyDescent="0.2">
      <c r="A34" s="89"/>
      <c r="B34" s="98"/>
      <c r="C34" s="108"/>
      <c r="D34" s="96"/>
      <c r="E34" s="96"/>
      <c r="F34" s="96"/>
      <c r="G34" s="96"/>
      <c r="H34" s="96"/>
      <c r="I34" s="97"/>
      <c r="J34" s="79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2">
      <c r="A35" s="89"/>
      <c r="B35" s="109" t="s">
        <v>155</v>
      </c>
      <c r="C35" s="110" t="s">
        <v>33</v>
      </c>
      <c r="D35" s="92">
        <f t="shared" ref="D35:I35" si="14">D27-D31</f>
        <v>115842.5</v>
      </c>
      <c r="E35" s="92">
        <f t="shared" si="14"/>
        <v>87691</v>
      </c>
      <c r="F35" s="92">
        <f t="shared" si="14"/>
        <v>114816.28000000001</v>
      </c>
      <c r="G35" s="92">
        <f t="shared" si="14"/>
        <v>134476.16</v>
      </c>
      <c r="H35" s="92">
        <f t="shared" si="14"/>
        <v>96813</v>
      </c>
      <c r="I35" s="93">
        <f t="shared" si="14"/>
        <v>107615</v>
      </c>
      <c r="J35" s="79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75" customHeight="1" x14ac:dyDescent="0.2">
      <c r="A36" s="89"/>
      <c r="B36" s="109" t="s">
        <v>34</v>
      </c>
      <c r="C36" s="110" t="s">
        <v>35</v>
      </c>
      <c r="D36" s="112">
        <f t="shared" ref="D36:I36" si="15">D35/D20</f>
        <v>0.71099551954827223</v>
      </c>
      <c r="E36" s="112">
        <f t="shared" si="15"/>
        <v>0.696314000762292</v>
      </c>
      <c r="F36" s="112">
        <f t="shared" si="15"/>
        <v>0.6935675535662682</v>
      </c>
      <c r="G36" s="112">
        <f t="shared" si="15"/>
        <v>0.69544682389757573</v>
      </c>
      <c r="H36" s="112">
        <f t="shared" si="15"/>
        <v>0.69465731014293097</v>
      </c>
      <c r="I36" s="113">
        <f t="shared" si="15"/>
        <v>0.68983974358974354</v>
      </c>
      <c r="J36" s="79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5.75" customHeight="1" x14ac:dyDescent="0.2">
      <c r="A37" s="89"/>
      <c r="B37" s="118"/>
      <c r="C37" s="114"/>
      <c r="D37" s="115"/>
      <c r="E37" s="115"/>
      <c r="F37" s="115"/>
      <c r="G37" s="115"/>
      <c r="H37" s="115"/>
      <c r="I37" s="116"/>
      <c r="J37" s="79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2">
      <c r="A38" s="89"/>
      <c r="B38" s="104" t="s">
        <v>156</v>
      </c>
      <c r="C38" s="91" t="s">
        <v>37</v>
      </c>
      <c r="D38" s="92">
        <f t="shared" ref="D38:I38" si="16">SUM(D39:D43)</f>
        <v>51200</v>
      </c>
      <c r="E38" s="92">
        <f t="shared" si="16"/>
        <v>51200</v>
      </c>
      <c r="F38" s="92">
        <f t="shared" si="16"/>
        <v>51200</v>
      </c>
      <c r="G38" s="92">
        <f t="shared" si="16"/>
        <v>51200</v>
      </c>
      <c r="H38" s="92">
        <f t="shared" si="16"/>
        <v>51200</v>
      </c>
      <c r="I38" s="93">
        <f t="shared" si="16"/>
        <v>51200</v>
      </c>
      <c r="J38" s="79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2">
      <c r="A39" s="89"/>
      <c r="B39" s="94" t="s">
        <v>157</v>
      </c>
      <c r="C39" s="105"/>
      <c r="D39" s="96">
        <f t="shared" ref="D39:I39" si="17">5*5200</f>
        <v>26000</v>
      </c>
      <c r="E39" s="96">
        <f t="shared" si="17"/>
        <v>26000</v>
      </c>
      <c r="F39" s="96">
        <f t="shared" si="17"/>
        <v>26000</v>
      </c>
      <c r="G39" s="96">
        <f t="shared" si="17"/>
        <v>26000</v>
      </c>
      <c r="H39" s="96">
        <f t="shared" si="17"/>
        <v>26000</v>
      </c>
      <c r="I39" s="97">
        <f t="shared" si="17"/>
        <v>26000</v>
      </c>
      <c r="J39" s="79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2">
      <c r="A40" s="89"/>
      <c r="B40" s="98" t="s">
        <v>158</v>
      </c>
      <c r="C40" s="106"/>
      <c r="D40" s="96">
        <v>5200</v>
      </c>
      <c r="E40" s="96">
        <v>5200</v>
      </c>
      <c r="F40" s="96">
        <v>5200</v>
      </c>
      <c r="G40" s="96">
        <v>5200</v>
      </c>
      <c r="H40" s="96">
        <v>5200</v>
      </c>
      <c r="I40" s="97">
        <v>5200</v>
      </c>
      <c r="J40" s="79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2">
      <c r="A41" s="89"/>
      <c r="B41" s="98" t="s">
        <v>64</v>
      </c>
      <c r="C41" s="106"/>
      <c r="D41" s="96">
        <v>6800</v>
      </c>
      <c r="E41" s="96">
        <v>6800</v>
      </c>
      <c r="F41" s="96">
        <v>6800</v>
      </c>
      <c r="G41" s="96">
        <v>6800</v>
      </c>
      <c r="H41" s="96">
        <v>6800</v>
      </c>
      <c r="I41" s="97">
        <v>6800</v>
      </c>
      <c r="J41" s="79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2">
      <c r="A42" s="89"/>
      <c r="B42" s="98" t="s">
        <v>65</v>
      </c>
      <c r="C42" s="106"/>
      <c r="D42" s="96">
        <v>13200</v>
      </c>
      <c r="E42" s="96">
        <v>13200</v>
      </c>
      <c r="F42" s="96">
        <v>13200</v>
      </c>
      <c r="G42" s="96">
        <v>13200</v>
      </c>
      <c r="H42" s="96">
        <v>13200</v>
      </c>
      <c r="I42" s="97">
        <v>13200</v>
      </c>
      <c r="J42" s="79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2">
      <c r="A43" s="89"/>
      <c r="B43" s="98"/>
      <c r="C43" s="108"/>
      <c r="D43" s="96"/>
      <c r="E43" s="96"/>
      <c r="F43" s="96"/>
      <c r="G43" s="96"/>
      <c r="H43" s="96"/>
      <c r="I43" s="97"/>
      <c r="J43" s="79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2">
      <c r="A44" s="89"/>
      <c r="B44" s="109" t="s">
        <v>159</v>
      </c>
      <c r="C44" s="119" t="s">
        <v>41</v>
      </c>
      <c r="D44" s="120">
        <f t="shared" ref="D44:I44" si="18">D35-D38</f>
        <v>64642.5</v>
      </c>
      <c r="E44" s="120">
        <f t="shared" si="18"/>
        <v>36491</v>
      </c>
      <c r="F44" s="120">
        <f t="shared" si="18"/>
        <v>63616.280000000013</v>
      </c>
      <c r="G44" s="120">
        <f t="shared" si="18"/>
        <v>83276.160000000003</v>
      </c>
      <c r="H44" s="120">
        <f t="shared" si="18"/>
        <v>45613</v>
      </c>
      <c r="I44" s="121">
        <f t="shared" si="18"/>
        <v>56415</v>
      </c>
      <c r="J44" s="79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2">
      <c r="A45" s="89"/>
      <c r="B45" s="109" t="s">
        <v>42</v>
      </c>
      <c r="C45" s="122" t="s">
        <v>43</v>
      </c>
      <c r="D45" s="123">
        <f t="shared" ref="D45:I45" si="19">D44/D20</f>
        <v>0.39675013809611487</v>
      </c>
      <c r="E45" s="123">
        <f t="shared" si="19"/>
        <v>0.28975828992504127</v>
      </c>
      <c r="F45" s="123">
        <f t="shared" si="19"/>
        <v>0.3842851178124454</v>
      </c>
      <c r="G45" s="123">
        <f t="shared" si="19"/>
        <v>0.43066474368680918</v>
      </c>
      <c r="H45" s="123">
        <f t="shared" si="19"/>
        <v>0.32728459904712703</v>
      </c>
      <c r="I45" s="124">
        <f t="shared" si="19"/>
        <v>0.36163461538461539</v>
      </c>
      <c r="J45" s="79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2">
      <c r="A46" s="89"/>
      <c r="B46" s="118"/>
      <c r="C46" s="42"/>
      <c r="D46" s="123"/>
      <c r="E46" s="123"/>
      <c r="F46" s="123"/>
      <c r="G46" s="123"/>
      <c r="H46" s="123"/>
      <c r="I46" s="124"/>
      <c r="J46" s="79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2">
      <c r="A47" s="89"/>
      <c r="B47" s="125" t="s">
        <v>160</v>
      </c>
      <c r="C47" s="117" t="s">
        <v>45</v>
      </c>
      <c r="D47" s="92">
        <f t="shared" ref="D47:I47" si="20">D48-D49</f>
        <v>0</v>
      </c>
      <c r="E47" s="92">
        <f t="shared" si="20"/>
        <v>0</v>
      </c>
      <c r="F47" s="92">
        <f t="shared" si="20"/>
        <v>0</v>
      </c>
      <c r="G47" s="92">
        <f t="shared" si="20"/>
        <v>0</v>
      </c>
      <c r="H47" s="92">
        <f t="shared" si="20"/>
        <v>0</v>
      </c>
      <c r="I47" s="93">
        <f t="shared" si="20"/>
        <v>0</v>
      </c>
      <c r="J47" s="79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2">
      <c r="A48" s="89"/>
      <c r="B48" s="94" t="s">
        <v>46</v>
      </c>
      <c r="C48" s="105"/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7">
        <v>0</v>
      </c>
      <c r="J48" s="79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2">
      <c r="A49" s="89"/>
      <c r="B49" s="98" t="s">
        <v>47</v>
      </c>
      <c r="C49" s="106"/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7">
        <v>0</v>
      </c>
      <c r="J49" s="79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2">
      <c r="A50" s="89"/>
      <c r="B50" s="118"/>
      <c r="C50" s="126"/>
      <c r="D50" s="115"/>
      <c r="E50" s="115"/>
      <c r="F50" s="115"/>
      <c r="G50" s="115"/>
      <c r="H50" s="115"/>
      <c r="I50" s="116"/>
      <c r="J50" s="79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2">
      <c r="A51" s="89"/>
      <c r="B51" s="125" t="s">
        <v>161</v>
      </c>
      <c r="C51" s="117" t="s">
        <v>49</v>
      </c>
      <c r="D51" s="92">
        <f t="shared" ref="D51:I51" si="21">D52+D53</f>
        <v>291.67</v>
      </c>
      <c r="E51" s="92">
        <f t="shared" si="21"/>
        <v>291.67</v>
      </c>
      <c r="F51" s="92">
        <f t="shared" si="21"/>
        <v>291.67</v>
      </c>
      <c r="G51" s="92">
        <f t="shared" si="21"/>
        <v>291.67</v>
      </c>
      <c r="H51" s="92">
        <f t="shared" si="21"/>
        <v>291.67</v>
      </c>
      <c r="I51" s="93">
        <f t="shared" si="21"/>
        <v>291.67</v>
      </c>
      <c r="J51" s="79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2">
      <c r="A52" s="89"/>
      <c r="B52" s="94" t="s">
        <v>162</v>
      </c>
      <c r="C52" s="127"/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7">
        <v>0</v>
      </c>
      <c r="J52" s="79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2">
      <c r="A53" s="89"/>
      <c r="B53" s="98" t="s">
        <v>163</v>
      </c>
      <c r="C53" s="128"/>
      <c r="D53" s="96">
        <v>291.67</v>
      </c>
      <c r="E53" s="96">
        <v>291.67</v>
      </c>
      <c r="F53" s="96">
        <v>291.67</v>
      </c>
      <c r="G53" s="96">
        <v>291.67</v>
      </c>
      <c r="H53" s="96">
        <v>291.67</v>
      </c>
      <c r="I53" s="97">
        <v>291.67</v>
      </c>
      <c r="J53" s="79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2">
      <c r="A54" s="89"/>
      <c r="B54" s="118"/>
      <c r="C54" s="126"/>
      <c r="D54" s="115"/>
      <c r="E54" s="115"/>
      <c r="F54" s="115"/>
      <c r="G54" s="115"/>
      <c r="H54" s="115"/>
      <c r="I54" s="116"/>
      <c r="J54" s="79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2">
      <c r="A55" s="89"/>
      <c r="B55" s="125" t="s">
        <v>164</v>
      </c>
      <c r="C55" s="110" t="s">
        <v>53</v>
      </c>
      <c r="D55" s="92">
        <f t="shared" ref="D55:I55" si="22">D44-D47-D51</f>
        <v>64350.83</v>
      </c>
      <c r="E55" s="92">
        <f t="shared" si="22"/>
        <v>36199.33</v>
      </c>
      <c r="F55" s="92">
        <f t="shared" si="22"/>
        <v>63324.610000000015</v>
      </c>
      <c r="G55" s="92">
        <f t="shared" si="22"/>
        <v>82984.490000000005</v>
      </c>
      <c r="H55" s="92">
        <f t="shared" si="22"/>
        <v>45321.33</v>
      </c>
      <c r="I55" s="93">
        <f t="shared" si="22"/>
        <v>56123.33</v>
      </c>
      <c r="J55" s="79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2">
      <c r="A56" s="89"/>
      <c r="B56" s="129"/>
      <c r="C56" s="114"/>
      <c r="D56" s="115"/>
      <c r="E56" s="115"/>
      <c r="F56" s="115"/>
      <c r="G56" s="115"/>
      <c r="H56" s="115"/>
      <c r="I56" s="116"/>
      <c r="J56" s="79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2">
      <c r="A57" s="89"/>
      <c r="B57" s="125" t="s">
        <v>165</v>
      </c>
      <c r="C57" s="117" t="s">
        <v>55</v>
      </c>
      <c r="D57" s="92">
        <f t="shared" ref="D57:I57" si="23">SUM(D58)</f>
        <v>8365.6079000000009</v>
      </c>
      <c r="E57" s="92">
        <f t="shared" si="23"/>
        <v>4705.9129000000003</v>
      </c>
      <c r="F57" s="92">
        <f t="shared" si="23"/>
        <v>8232.199300000002</v>
      </c>
      <c r="G57" s="92">
        <f t="shared" si="23"/>
        <v>10787.983700000001</v>
      </c>
      <c r="H57" s="92">
        <f t="shared" si="23"/>
        <v>5891.7729000000008</v>
      </c>
      <c r="I57" s="93">
        <f t="shared" si="23"/>
        <v>7296.0329000000002</v>
      </c>
      <c r="J57" s="79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2">
      <c r="A58" s="89"/>
      <c r="B58" s="94" t="s">
        <v>166</v>
      </c>
      <c r="C58" s="105"/>
      <c r="D58" s="96">
        <f t="shared" ref="D58:I58" si="24">13%*D55</f>
        <v>8365.6079000000009</v>
      </c>
      <c r="E58" s="96">
        <f t="shared" si="24"/>
        <v>4705.9129000000003</v>
      </c>
      <c r="F58" s="96">
        <f t="shared" si="24"/>
        <v>8232.199300000002</v>
      </c>
      <c r="G58" s="96">
        <f t="shared" si="24"/>
        <v>10787.983700000001</v>
      </c>
      <c r="H58" s="96">
        <f t="shared" si="24"/>
        <v>5891.7729000000008</v>
      </c>
      <c r="I58" s="97">
        <f t="shared" si="24"/>
        <v>7296.0329000000002</v>
      </c>
      <c r="J58" s="79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2">
      <c r="A59" s="89"/>
      <c r="B59" s="118"/>
      <c r="C59" s="126"/>
      <c r="D59" s="115"/>
      <c r="E59" s="115"/>
      <c r="F59" s="115"/>
      <c r="G59" s="115"/>
      <c r="H59" s="115"/>
      <c r="I59" s="116"/>
      <c r="J59" s="79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2">
      <c r="A60" s="89"/>
      <c r="B60" s="130" t="s">
        <v>167</v>
      </c>
      <c r="C60" s="131" t="s">
        <v>58</v>
      </c>
      <c r="D60" s="92">
        <f t="shared" ref="D60:I60" si="25">D55-D57</f>
        <v>55985.222099999999</v>
      </c>
      <c r="E60" s="92">
        <f t="shared" si="25"/>
        <v>31493.417100000002</v>
      </c>
      <c r="F60" s="92">
        <f t="shared" si="25"/>
        <v>55092.410700000015</v>
      </c>
      <c r="G60" s="92">
        <f t="shared" si="25"/>
        <v>72196.506300000008</v>
      </c>
      <c r="H60" s="92">
        <f t="shared" si="25"/>
        <v>39429.557099999998</v>
      </c>
      <c r="I60" s="93">
        <f t="shared" si="25"/>
        <v>48827.297100000003</v>
      </c>
      <c r="J60" s="79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2">
      <c r="A61" s="89"/>
      <c r="B61" s="132" t="s">
        <v>77</v>
      </c>
      <c r="C61" s="133" t="s">
        <v>60</v>
      </c>
      <c r="D61" s="134">
        <f t="shared" ref="D61:I61" si="26">D60/D20</f>
        <v>0.34361518504879396</v>
      </c>
      <c r="E61" s="134">
        <f t="shared" si="26"/>
        <v>0.25007477687079155</v>
      </c>
      <c r="F61" s="134">
        <f t="shared" si="26"/>
        <v>0.33279521431339787</v>
      </c>
      <c r="G61" s="134">
        <f t="shared" si="26"/>
        <v>0.37336603754030689</v>
      </c>
      <c r="H61" s="134">
        <f t="shared" si="26"/>
        <v>0.28291686111589459</v>
      </c>
      <c r="I61" s="135">
        <f t="shared" si="26"/>
        <v>0.31299549423076928</v>
      </c>
      <c r="J61" s="79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2">
      <c r="A62" s="77"/>
      <c r="B62" s="136"/>
      <c r="C62" s="137"/>
      <c r="D62" s="137"/>
      <c r="E62" s="137"/>
      <c r="F62" s="137"/>
      <c r="G62" s="137"/>
      <c r="H62" s="137"/>
      <c r="I62" s="13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33.75" customHeight="1" x14ac:dyDescent="0.2">
      <c r="A63" s="89"/>
      <c r="B63" s="138" t="s">
        <v>78</v>
      </c>
      <c r="C63" s="139"/>
      <c r="D63" s="140">
        <f t="shared" ref="D63:I63" si="27">D60</f>
        <v>55985.222099999999</v>
      </c>
      <c r="E63" s="140">
        <f t="shared" si="27"/>
        <v>31493.417100000002</v>
      </c>
      <c r="F63" s="140">
        <f t="shared" si="27"/>
        <v>55092.410700000015</v>
      </c>
      <c r="G63" s="140">
        <f t="shared" si="27"/>
        <v>72196.506300000008</v>
      </c>
      <c r="H63" s="140">
        <f t="shared" si="27"/>
        <v>39429.557099999998</v>
      </c>
      <c r="I63" s="141">
        <f t="shared" si="27"/>
        <v>48827.297100000003</v>
      </c>
      <c r="J63" s="79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33.75" customHeight="1" x14ac:dyDescent="0.2">
      <c r="A64" s="89"/>
      <c r="B64" s="142" t="s">
        <v>79</v>
      </c>
      <c r="C64" s="143"/>
      <c r="D64" s="144">
        <v>55985.222099999999</v>
      </c>
      <c r="E64" s="144">
        <f t="shared" ref="E64:I64" si="28">E63+D64</f>
        <v>87478.639200000005</v>
      </c>
      <c r="F64" s="144">
        <f t="shared" si="28"/>
        <v>142571.04990000001</v>
      </c>
      <c r="G64" s="144">
        <f t="shared" si="28"/>
        <v>214767.55620000002</v>
      </c>
      <c r="H64" s="144">
        <f t="shared" si="28"/>
        <v>254197.11330000003</v>
      </c>
      <c r="I64" s="145">
        <f t="shared" si="28"/>
        <v>303024.41040000005</v>
      </c>
      <c r="J64" s="79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2">
      <c r="A65" s="77"/>
      <c r="B65" s="80"/>
      <c r="C65" s="81"/>
      <c r="D65" s="81"/>
      <c r="E65" s="146"/>
      <c r="F65" s="146"/>
      <c r="G65" s="146"/>
      <c r="H65" s="146"/>
      <c r="I65" s="146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2">
      <c r="A66" s="77"/>
      <c r="B66" s="75"/>
      <c r="C66" s="147"/>
      <c r="D66" s="14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75" customHeight="1" x14ac:dyDescent="0.2">
      <c r="A67" s="77"/>
      <c r="B67" s="75"/>
      <c r="C67" s="147"/>
      <c r="D67" s="14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75" customHeight="1" x14ac:dyDescent="0.2">
      <c r="A68" s="77"/>
      <c r="B68" s="75"/>
      <c r="C68" s="147"/>
      <c r="D68" s="14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2">
      <c r="A69" s="77"/>
      <c r="B69" s="75"/>
      <c r="C69" s="147"/>
      <c r="D69" s="14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2">
      <c r="A70" s="77"/>
      <c r="B70" s="75"/>
      <c r="C70" s="147"/>
      <c r="D70" s="14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2">
      <c r="A71" s="77"/>
      <c r="B71" s="75"/>
      <c r="C71" s="147"/>
      <c r="D71" s="14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2">
      <c r="A72" s="77"/>
      <c r="B72" s="75"/>
      <c r="C72" s="147"/>
      <c r="D72" s="14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2">
      <c r="A73" s="77"/>
      <c r="B73" s="75"/>
      <c r="C73" s="147"/>
      <c r="D73" s="14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2">
      <c r="A74" s="77"/>
      <c r="B74" s="75"/>
      <c r="C74" s="147"/>
      <c r="D74" s="14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2">
      <c r="A75" s="77"/>
      <c r="B75" s="75"/>
      <c r="C75" s="147"/>
      <c r="D75" s="14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2">
      <c r="A76" s="77"/>
      <c r="B76" s="75"/>
      <c r="C76" s="147"/>
      <c r="D76" s="14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2">
      <c r="A77" s="77"/>
      <c r="B77" s="75"/>
      <c r="C77" s="147"/>
      <c r="D77" s="14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2">
      <c r="A78" s="77"/>
      <c r="B78" s="75"/>
      <c r="C78" s="147"/>
      <c r="D78" s="14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2">
      <c r="A79" s="77"/>
      <c r="B79" s="75"/>
      <c r="C79" s="147"/>
      <c r="D79" s="14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2">
      <c r="A80" s="77"/>
      <c r="B80" s="75"/>
      <c r="C80" s="147"/>
      <c r="D80" s="14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2">
      <c r="A81" s="77"/>
      <c r="B81" s="75"/>
      <c r="C81" s="147"/>
      <c r="D81" s="14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2">
      <c r="A82" s="77"/>
      <c r="B82" s="75"/>
      <c r="C82" s="147"/>
      <c r="D82" s="14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2">
      <c r="A83" s="77"/>
      <c r="B83" s="75"/>
      <c r="C83" s="147"/>
      <c r="D83" s="14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2">
      <c r="A84" s="77"/>
      <c r="B84" s="75"/>
      <c r="C84" s="147"/>
      <c r="D84" s="14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2">
      <c r="A85" s="77"/>
      <c r="B85" s="75"/>
      <c r="C85" s="147"/>
      <c r="D85" s="14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2">
      <c r="A86" s="77"/>
      <c r="B86" s="75"/>
      <c r="C86" s="147"/>
      <c r="D86" s="14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2">
      <c r="A87" s="77"/>
      <c r="B87" s="75"/>
      <c r="C87" s="147"/>
      <c r="D87" s="14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2">
      <c r="A88" s="77"/>
      <c r="B88" s="75"/>
      <c r="C88" s="147"/>
      <c r="D88" s="14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2">
      <c r="A89" s="77"/>
      <c r="B89" s="75"/>
      <c r="C89" s="147"/>
      <c r="D89" s="14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2">
      <c r="A90" s="77"/>
      <c r="B90" s="75"/>
      <c r="C90" s="147"/>
      <c r="D90" s="14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2">
      <c r="A91" s="77"/>
      <c r="B91" s="75"/>
      <c r="C91" s="147"/>
      <c r="D91" s="14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2">
      <c r="A92" s="77"/>
      <c r="B92" s="75"/>
      <c r="C92" s="147"/>
      <c r="D92" s="14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2">
      <c r="A93" s="77"/>
      <c r="B93" s="75"/>
      <c r="C93" s="147"/>
      <c r="D93" s="14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2">
      <c r="A94" s="77"/>
      <c r="B94" s="75"/>
      <c r="C94" s="147"/>
      <c r="D94" s="14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2">
      <c r="A95" s="77"/>
      <c r="B95" s="75"/>
      <c r="C95" s="147"/>
      <c r="D95" s="14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2">
      <c r="A96" s="77"/>
      <c r="B96" s="75"/>
      <c r="C96" s="147"/>
      <c r="D96" s="14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2">
      <c r="A97" s="77"/>
      <c r="B97" s="75"/>
      <c r="C97" s="147"/>
      <c r="D97" s="14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2">
      <c r="A98" s="77"/>
      <c r="B98" s="75"/>
      <c r="C98" s="147"/>
      <c r="D98" s="14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2">
      <c r="A99" s="77"/>
      <c r="B99" s="75"/>
      <c r="C99" s="147"/>
      <c r="D99" s="14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2">
      <c r="A100" s="77"/>
      <c r="B100" s="75"/>
      <c r="C100" s="147"/>
      <c r="D100" s="14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2">
      <c r="A101" s="77"/>
      <c r="B101" s="75"/>
      <c r="C101" s="147"/>
      <c r="D101" s="14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2">
      <c r="A102" s="77"/>
      <c r="B102" s="75"/>
      <c r="C102" s="147"/>
      <c r="D102" s="14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2">
      <c r="A103" s="77"/>
      <c r="B103" s="75"/>
      <c r="C103" s="147"/>
      <c r="D103" s="14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2">
      <c r="A104" s="77"/>
      <c r="B104" s="75"/>
      <c r="C104" s="147"/>
      <c r="D104" s="14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2">
      <c r="A105" s="77"/>
      <c r="B105" s="75"/>
      <c r="C105" s="147"/>
      <c r="D105" s="14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2">
      <c r="A106" s="77"/>
      <c r="B106" s="75"/>
      <c r="C106" s="147"/>
      <c r="D106" s="14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2">
      <c r="A107" s="77"/>
      <c r="B107" s="75"/>
      <c r="C107" s="147"/>
      <c r="D107" s="14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2">
      <c r="A108" s="77"/>
      <c r="B108" s="75"/>
      <c r="C108" s="147"/>
      <c r="D108" s="14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2">
      <c r="A109" s="77"/>
      <c r="B109" s="75"/>
      <c r="C109" s="147"/>
      <c r="D109" s="14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2">
      <c r="A110" s="77"/>
      <c r="B110" s="75"/>
      <c r="C110" s="147"/>
      <c r="D110" s="14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2">
      <c r="A111" s="77"/>
      <c r="B111" s="75"/>
      <c r="C111" s="147"/>
      <c r="D111" s="14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2">
      <c r="A112" s="77"/>
      <c r="B112" s="75"/>
      <c r="C112" s="147"/>
      <c r="D112" s="14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2">
      <c r="A113" s="77"/>
      <c r="B113" s="75"/>
      <c r="C113" s="147"/>
      <c r="D113" s="14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2">
      <c r="A114" s="77"/>
      <c r="B114" s="75"/>
      <c r="C114" s="147"/>
      <c r="D114" s="14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2">
      <c r="A115" s="77"/>
      <c r="B115" s="75"/>
      <c r="C115" s="147"/>
      <c r="D115" s="14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2">
      <c r="A116" s="77"/>
      <c r="B116" s="75"/>
      <c r="C116" s="147"/>
      <c r="D116" s="14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2">
      <c r="A117" s="77"/>
      <c r="B117" s="75"/>
      <c r="C117" s="147"/>
      <c r="D117" s="14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2">
      <c r="A118" s="77"/>
      <c r="B118" s="75"/>
      <c r="C118" s="147"/>
      <c r="D118" s="14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2">
      <c r="A119" s="77"/>
      <c r="B119" s="75"/>
      <c r="C119" s="147"/>
      <c r="D119" s="14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2">
      <c r="A120" s="77"/>
      <c r="B120" s="75"/>
      <c r="C120" s="147"/>
      <c r="D120" s="14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2">
      <c r="A121" s="77"/>
      <c r="B121" s="75"/>
      <c r="C121" s="147"/>
      <c r="D121" s="14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2">
      <c r="A122" s="77"/>
      <c r="B122" s="75"/>
      <c r="C122" s="147"/>
      <c r="D122" s="14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2">
      <c r="A123" s="77"/>
      <c r="B123" s="75"/>
      <c r="C123" s="147"/>
      <c r="D123" s="14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2">
      <c r="A124" s="77"/>
      <c r="B124" s="75"/>
      <c r="C124" s="147"/>
      <c r="D124" s="14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2">
      <c r="A125" s="77"/>
      <c r="B125" s="75"/>
      <c r="C125" s="147"/>
      <c r="D125" s="14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2">
      <c r="A126" s="77"/>
      <c r="B126" s="75"/>
      <c r="C126" s="147"/>
      <c r="D126" s="14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2">
      <c r="A127" s="77"/>
      <c r="B127" s="75"/>
      <c r="C127" s="147"/>
      <c r="D127" s="14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2">
      <c r="A128" s="77"/>
      <c r="B128" s="75"/>
      <c r="C128" s="147"/>
      <c r="D128" s="14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2">
      <c r="A129" s="77"/>
      <c r="B129" s="75"/>
      <c r="C129" s="147"/>
      <c r="D129" s="14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2">
      <c r="A130" s="77"/>
      <c r="B130" s="75"/>
      <c r="C130" s="147"/>
      <c r="D130" s="14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2">
      <c r="A131" s="77"/>
      <c r="B131" s="75"/>
      <c r="C131" s="147"/>
      <c r="D131" s="14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2">
      <c r="A132" s="77"/>
      <c r="B132" s="75"/>
      <c r="C132" s="147"/>
      <c r="D132" s="14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2">
      <c r="A133" s="77"/>
      <c r="B133" s="75"/>
      <c r="C133" s="147"/>
      <c r="D133" s="14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2">
      <c r="A134" s="77"/>
      <c r="B134" s="75"/>
      <c r="C134" s="147"/>
      <c r="D134" s="14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2">
      <c r="A135" s="77"/>
      <c r="B135" s="75"/>
      <c r="C135" s="147"/>
      <c r="D135" s="14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2">
      <c r="A136" s="77"/>
      <c r="B136" s="75"/>
      <c r="C136" s="147"/>
      <c r="D136" s="14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2">
      <c r="A137" s="77"/>
      <c r="B137" s="75"/>
      <c r="C137" s="147"/>
      <c r="D137" s="14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2">
      <c r="A138" s="77"/>
      <c r="B138" s="75"/>
      <c r="C138" s="147"/>
      <c r="D138" s="14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2">
      <c r="A139" s="77"/>
      <c r="B139" s="75"/>
      <c r="C139" s="147"/>
      <c r="D139" s="14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2">
      <c r="A140" s="77"/>
      <c r="B140" s="75"/>
      <c r="C140" s="147"/>
      <c r="D140" s="14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2">
      <c r="A141" s="77"/>
      <c r="B141" s="75"/>
      <c r="C141" s="147"/>
      <c r="D141" s="14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2">
      <c r="A142" s="77"/>
      <c r="B142" s="75"/>
      <c r="C142" s="147"/>
      <c r="D142" s="14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2">
      <c r="A143" s="77"/>
      <c r="B143" s="75"/>
      <c r="C143" s="147"/>
      <c r="D143" s="14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2">
      <c r="A144" s="77"/>
      <c r="B144" s="75"/>
      <c r="C144" s="147"/>
      <c r="D144" s="14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2">
      <c r="A145" s="77"/>
      <c r="B145" s="75"/>
      <c r="C145" s="147"/>
      <c r="D145" s="14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2">
      <c r="A146" s="77"/>
      <c r="B146" s="75"/>
      <c r="C146" s="147"/>
      <c r="D146" s="14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2">
      <c r="A147" s="77"/>
      <c r="B147" s="75"/>
      <c r="C147" s="147"/>
      <c r="D147" s="14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2">
      <c r="A148" s="77"/>
      <c r="B148" s="75"/>
      <c r="C148" s="147"/>
      <c r="D148" s="14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2">
      <c r="A149" s="77"/>
      <c r="B149" s="75"/>
      <c r="C149" s="147"/>
      <c r="D149" s="14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2">
      <c r="A150" s="77"/>
      <c r="B150" s="75"/>
      <c r="C150" s="147"/>
      <c r="D150" s="14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2">
      <c r="A151" s="77"/>
      <c r="B151" s="75"/>
      <c r="C151" s="147"/>
      <c r="D151" s="14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2">
      <c r="A152" s="77"/>
      <c r="B152" s="75"/>
      <c r="C152" s="147"/>
      <c r="D152" s="14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2">
      <c r="A153" s="77"/>
      <c r="B153" s="75"/>
      <c r="C153" s="147"/>
      <c r="D153" s="14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2">
      <c r="A154" s="77"/>
      <c r="B154" s="75"/>
      <c r="C154" s="147"/>
      <c r="D154" s="14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2">
      <c r="A155" s="77"/>
      <c r="B155" s="75"/>
      <c r="C155" s="147"/>
      <c r="D155" s="14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2">
      <c r="A156" s="77"/>
      <c r="B156" s="75"/>
      <c r="C156" s="147"/>
      <c r="D156" s="14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2">
      <c r="A157" s="77"/>
      <c r="B157" s="75"/>
      <c r="C157" s="147"/>
      <c r="D157" s="14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2">
      <c r="A158" s="77"/>
      <c r="B158" s="75"/>
      <c r="C158" s="147"/>
      <c r="D158" s="14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2">
      <c r="A159" s="77"/>
      <c r="B159" s="75"/>
      <c r="C159" s="147"/>
      <c r="D159" s="14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2">
      <c r="A160" s="77"/>
      <c r="B160" s="75"/>
      <c r="C160" s="147"/>
      <c r="D160" s="14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2">
      <c r="A161" s="77"/>
      <c r="B161" s="75"/>
      <c r="C161" s="147"/>
      <c r="D161" s="14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2">
      <c r="A162" s="77"/>
      <c r="B162" s="75"/>
      <c r="C162" s="147"/>
      <c r="D162" s="14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2">
      <c r="A163" s="77"/>
      <c r="B163" s="75"/>
      <c r="C163" s="147"/>
      <c r="D163" s="14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2">
      <c r="A164" s="77"/>
      <c r="B164" s="75"/>
      <c r="C164" s="147"/>
      <c r="D164" s="14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2">
      <c r="A165" s="77"/>
      <c r="B165" s="75"/>
      <c r="C165" s="147"/>
      <c r="D165" s="14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2">
      <c r="A166" s="77"/>
      <c r="B166" s="75"/>
      <c r="C166" s="147"/>
      <c r="D166" s="14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2">
      <c r="A167" s="77"/>
      <c r="B167" s="75"/>
      <c r="C167" s="147"/>
      <c r="D167" s="14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2">
      <c r="A168" s="77"/>
      <c r="B168" s="75"/>
      <c r="C168" s="147"/>
      <c r="D168" s="14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2">
      <c r="A169" s="77"/>
      <c r="B169" s="75"/>
      <c r="C169" s="147"/>
      <c r="D169" s="14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2">
      <c r="A170" s="77"/>
      <c r="B170" s="75"/>
      <c r="C170" s="147"/>
      <c r="D170" s="14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2">
      <c r="A171" s="77"/>
      <c r="B171" s="75"/>
      <c r="C171" s="147"/>
      <c r="D171" s="14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2">
      <c r="A172" s="77"/>
      <c r="B172" s="75"/>
      <c r="C172" s="147"/>
      <c r="D172" s="14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2">
      <c r="A173" s="77"/>
      <c r="B173" s="75"/>
      <c r="C173" s="147"/>
      <c r="D173" s="14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2">
      <c r="A174" s="77"/>
      <c r="B174" s="75"/>
      <c r="C174" s="147"/>
      <c r="D174" s="14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2">
      <c r="A175" s="77"/>
      <c r="B175" s="75"/>
      <c r="C175" s="147"/>
      <c r="D175" s="14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2">
      <c r="A176" s="77"/>
      <c r="B176" s="75"/>
      <c r="C176" s="147"/>
      <c r="D176" s="14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2">
      <c r="A177" s="77"/>
      <c r="B177" s="75"/>
      <c r="C177" s="147"/>
      <c r="D177" s="14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2">
      <c r="A178" s="77"/>
      <c r="B178" s="75"/>
      <c r="C178" s="147"/>
      <c r="D178" s="14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2">
      <c r="A179" s="77"/>
      <c r="B179" s="75"/>
      <c r="C179" s="147"/>
      <c r="D179" s="14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2">
      <c r="A180" s="77"/>
      <c r="B180" s="75"/>
      <c r="C180" s="147"/>
      <c r="D180" s="14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2">
      <c r="A181" s="77"/>
      <c r="B181" s="75"/>
      <c r="C181" s="147"/>
      <c r="D181" s="14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2">
      <c r="A182" s="77"/>
      <c r="B182" s="75"/>
      <c r="C182" s="147"/>
      <c r="D182" s="14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2">
      <c r="A183" s="77"/>
      <c r="B183" s="75"/>
      <c r="C183" s="147"/>
      <c r="D183" s="14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2">
      <c r="A184" s="77"/>
      <c r="B184" s="75"/>
      <c r="C184" s="147"/>
      <c r="D184" s="14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2">
      <c r="A185" s="77"/>
      <c r="B185" s="75"/>
      <c r="C185" s="147"/>
      <c r="D185" s="14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2">
      <c r="A186" s="77"/>
      <c r="B186" s="75"/>
      <c r="C186" s="147"/>
      <c r="D186" s="14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2">
      <c r="A187" s="77"/>
      <c r="B187" s="75"/>
      <c r="C187" s="147"/>
      <c r="D187" s="14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2">
      <c r="A188" s="77"/>
      <c r="B188" s="75"/>
      <c r="C188" s="147"/>
      <c r="D188" s="14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2">
      <c r="A189" s="77"/>
      <c r="B189" s="75"/>
      <c r="C189" s="147"/>
      <c r="D189" s="14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2">
      <c r="A190" s="77"/>
      <c r="B190" s="75"/>
      <c r="C190" s="147"/>
      <c r="D190" s="14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2">
      <c r="A191" s="77"/>
      <c r="B191" s="75"/>
      <c r="C191" s="147"/>
      <c r="D191" s="14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2">
      <c r="A192" s="77"/>
      <c r="B192" s="75"/>
      <c r="C192" s="147"/>
      <c r="D192" s="14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2">
      <c r="A193" s="77"/>
      <c r="B193" s="75"/>
      <c r="C193" s="147"/>
      <c r="D193" s="14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2">
      <c r="A194" s="77"/>
      <c r="B194" s="75"/>
      <c r="C194" s="147"/>
      <c r="D194" s="14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2">
      <c r="A195" s="77"/>
      <c r="B195" s="75"/>
      <c r="C195" s="147"/>
      <c r="D195" s="14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2">
      <c r="A196" s="77"/>
      <c r="B196" s="75"/>
      <c r="C196" s="147"/>
      <c r="D196" s="14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2">
      <c r="A197" s="77"/>
      <c r="B197" s="75"/>
      <c r="C197" s="147"/>
      <c r="D197" s="14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2">
      <c r="A198" s="77"/>
      <c r="B198" s="75"/>
      <c r="C198" s="147"/>
      <c r="D198" s="14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2">
      <c r="A199" s="77"/>
      <c r="B199" s="75"/>
      <c r="C199" s="147"/>
      <c r="D199" s="14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2">
      <c r="A200" s="77"/>
      <c r="B200" s="75"/>
      <c r="C200" s="147"/>
      <c r="D200" s="14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2">
      <c r="A201" s="77"/>
      <c r="B201" s="75"/>
      <c r="C201" s="147"/>
      <c r="D201" s="14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2">
      <c r="A202" s="77"/>
      <c r="B202" s="75"/>
      <c r="C202" s="147"/>
      <c r="D202" s="14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2">
      <c r="A203" s="77"/>
      <c r="B203" s="75"/>
      <c r="C203" s="147"/>
      <c r="D203" s="14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2">
      <c r="A204" s="77"/>
      <c r="B204" s="75"/>
      <c r="C204" s="147"/>
      <c r="D204" s="14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2">
      <c r="A205" s="77"/>
      <c r="B205" s="75"/>
      <c r="C205" s="147"/>
      <c r="D205" s="14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2">
      <c r="A206" s="77"/>
      <c r="B206" s="75"/>
      <c r="C206" s="147"/>
      <c r="D206" s="14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2">
      <c r="A207" s="77"/>
      <c r="B207" s="75"/>
      <c r="C207" s="147"/>
      <c r="D207" s="14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2">
      <c r="A208" s="77"/>
      <c r="B208" s="75"/>
      <c r="C208" s="147"/>
      <c r="D208" s="14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2">
      <c r="A209" s="77"/>
      <c r="B209" s="75"/>
      <c r="C209" s="147"/>
      <c r="D209" s="14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2">
      <c r="A210" s="77"/>
      <c r="B210" s="75"/>
      <c r="C210" s="147"/>
      <c r="D210" s="14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2">
      <c r="A211" s="77"/>
      <c r="B211" s="75"/>
      <c r="C211" s="147"/>
      <c r="D211" s="14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2">
      <c r="A212" s="77"/>
      <c r="B212" s="75"/>
      <c r="C212" s="147"/>
      <c r="D212" s="14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2">
      <c r="A213" s="77"/>
      <c r="B213" s="75"/>
      <c r="C213" s="147"/>
      <c r="D213" s="14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2">
      <c r="A214" s="77"/>
      <c r="B214" s="75"/>
      <c r="C214" s="147"/>
      <c r="D214" s="14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2">
      <c r="A215" s="77"/>
      <c r="B215" s="75"/>
      <c r="C215" s="147"/>
      <c r="D215" s="14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2">
      <c r="A216" s="77"/>
      <c r="B216" s="75"/>
      <c r="C216" s="147"/>
      <c r="D216" s="14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2">
      <c r="A217" s="77"/>
      <c r="B217" s="75"/>
      <c r="C217" s="147"/>
      <c r="D217" s="14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2">
      <c r="A218" s="77"/>
      <c r="B218" s="75"/>
      <c r="C218" s="147"/>
      <c r="D218" s="14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2">
      <c r="A219" s="77"/>
      <c r="B219" s="75"/>
      <c r="C219" s="147"/>
      <c r="D219" s="14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2">
      <c r="A220" s="77"/>
      <c r="B220" s="75"/>
      <c r="C220" s="147"/>
      <c r="D220" s="14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2">
      <c r="A221" s="77"/>
      <c r="B221" s="75"/>
      <c r="C221" s="147"/>
      <c r="D221" s="14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2">
      <c r="A222" s="77"/>
      <c r="B222" s="75"/>
      <c r="C222" s="147"/>
      <c r="D222" s="14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2">
      <c r="A223" s="77"/>
      <c r="B223" s="75"/>
      <c r="C223" s="147"/>
      <c r="D223" s="14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2">
      <c r="A224" s="77"/>
      <c r="B224" s="75"/>
      <c r="C224" s="147"/>
      <c r="D224" s="14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2">
      <c r="A225" s="77"/>
      <c r="B225" s="75"/>
      <c r="C225" s="147"/>
      <c r="D225" s="14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2">
      <c r="A226" s="77"/>
      <c r="B226" s="75"/>
      <c r="C226" s="147"/>
      <c r="D226" s="14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2">
      <c r="A227" s="77"/>
      <c r="B227" s="75"/>
      <c r="C227" s="147"/>
      <c r="D227" s="14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2">
      <c r="A228" s="77"/>
      <c r="B228" s="75"/>
      <c r="C228" s="147"/>
      <c r="D228" s="14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2">
      <c r="A229" s="77"/>
      <c r="B229" s="75"/>
      <c r="C229" s="147"/>
      <c r="D229" s="14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2">
      <c r="A230" s="77"/>
      <c r="B230" s="75"/>
      <c r="C230" s="147"/>
      <c r="D230" s="14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2">
      <c r="A231" s="77"/>
      <c r="B231" s="75"/>
      <c r="C231" s="147"/>
      <c r="D231" s="14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2">
      <c r="A232" s="77"/>
      <c r="B232" s="75"/>
      <c r="C232" s="147"/>
      <c r="D232" s="14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2">
      <c r="A233" s="77"/>
      <c r="B233" s="75"/>
      <c r="C233" s="147"/>
      <c r="D233" s="14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2">
      <c r="A234" s="77"/>
      <c r="B234" s="75"/>
      <c r="C234" s="147"/>
      <c r="D234" s="14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2">
      <c r="A235" s="77"/>
      <c r="B235" s="75"/>
      <c r="C235" s="147"/>
      <c r="D235" s="14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2">
      <c r="A236" s="77"/>
      <c r="B236" s="75"/>
      <c r="C236" s="147"/>
      <c r="D236" s="14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2">
      <c r="A237" s="77"/>
      <c r="B237" s="75"/>
      <c r="C237" s="147"/>
      <c r="D237" s="14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2">
      <c r="A238" s="77"/>
      <c r="B238" s="75"/>
      <c r="C238" s="147"/>
      <c r="D238" s="14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2">
      <c r="A239" s="77"/>
      <c r="B239" s="75"/>
      <c r="C239" s="147"/>
      <c r="D239" s="14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2">
      <c r="A240" s="77"/>
      <c r="B240" s="75"/>
      <c r="C240" s="147"/>
      <c r="D240" s="14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2">
      <c r="A241" s="77"/>
      <c r="B241" s="75"/>
      <c r="C241" s="147"/>
      <c r="D241" s="14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2">
      <c r="A242" s="77"/>
      <c r="B242" s="75"/>
      <c r="C242" s="147"/>
      <c r="D242" s="14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2">
      <c r="A243" s="77"/>
      <c r="B243" s="75"/>
      <c r="C243" s="147"/>
      <c r="D243" s="14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2">
      <c r="A244" s="77"/>
      <c r="B244" s="75"/>
      <c r="C244" s="147"/>
      <c r="D244" s="14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2">
      <c r="A245" s="77"/>
      <c r="B245" s="75"/>
      <c r="C245" s="147"/>
      <c r="D245" s="14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2">
      <c r="A246" s="77"/>
      <c r="B246" s="75"/>
      <c r="C246" s="147"/>
      <c r="D246" s="14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2">
      <c r="A247" s="77"/>
      <c r="B247" s="75"/>
      <c r="C247" s="147"/>
      <c r="D247" s="14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2">
      <c r="A248" s="77"/>
      <c r="B248" s="75"/>
      <c r="C248" s="147"/>
      <c r="D248" s="14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2">
      <c r="A249" s="77"/>
      <c r="B249" s="75"/>
      <c r="C249" s="147"/>
      <c r="D249" s="14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2">
      <c r="A250" s="77"/>
      <c r="B250" s="75"/>
      <c r="C250" s="147"/>
      <c r="D250" s="14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2">
      <c r="A251" s="77"/>
      <c r="B251" s="75"/>
      <c r="C251" s="147"/>
      <c r="D251" s="14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2">
      <c r="A252" s="77"/>
      <c r="B252" s="75"/>
      <c r="C252" s="147"/>
      <c r="D252" s="14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2">
      <c r="A253" s="77"/>
      <c r="B253" s="75"/>
      <c r="C253" s="147"/>
      <c r="D253" s="14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2">
      <c r="A254" s="77"/>
      <c r="B254" s="75"/>
      <c r="C254" s="147"/>
      <c r="D254" s="14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2">
      <c r="A255" s="77"/>
      <c r="B255" s="75"/>
      <c r="C255" s="147"/>
      <c r="D255" s="14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2">
      <c r="A256" s="77"/>
      <c r="B256" s="75"/>
      <c r="C256" s="147"/>
      <c r="D256" s="14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2">
      <c r="A257" s="77"/>
      <c r="B257" s="75"/>
      <c r="C257" s="147"/>
      <c r="D257" s="14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2">
      <c r="A258" s="77"/>
      <c r="B258" s="75"/>
      <c r="C258" s="147"/>
      <c r="D258" s="14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2">
      <c r="A259" s="77"/>
      <c r="B259" s="75"/>
      <c r="C259" s="147"/>
      <c r="D259" s="14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2">
      <c r="A260" s="77"/>
      <c r="B260" s="75"/>
      <c r="C260" s="147"/>
      <c r="D260" s="14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2">
      <c r="A261" s="77"/>
      <c r="B261" s="75"/>
      <c r="C261" s="147"/>
      <c r="D261" s="14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2">
      <c r="A262" s="77"/>
      <c r="B262" s="75"/>
      <c r="C262" s="147"/>
      <c r="D262" s="14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2">
      <c r="A263" s="77"/>
      <c r="B263" s="75"/>
      <c r="C263" s="147"/>
      <c r="D263" s="14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2">
      <c r="A264" s="77"/>
      <c r="B264" s="75"/>
      <c r="C264" s="147"/>
      <c r="D264" s="14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15"/>
    <row r="266" spans="1:26" ht="15.75" customHeight="1" x14ac:dyDescent="0.15"/>
    <row r="267" spans="1:26" ht="15.75" customHeight="1" x14ac:dyDescent="0.15"/>
    <row r="268" spans="1:26" ht="15.75" customHeight="1" x14ac:dyDescent="0.15"/>
    <row r="269" spans="1:26" ht="15.75" customHeight="1" x14ac:dyDescent="0.15"/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I2"/>
    <mergeCell ref="D4:F4"/>
    <mergeCell ref="G4:I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3.83203125" customWidth="1"/>
    <col min="2" max="2" width="46.1640625" customWidth="1"/>
    <col min="3" max="3" width="31.33203125" customWidth="1"/>
    <col min="4" max="9" width="17.6640625" customWidth="1"/>
  </cols>
  <sheetData>
    <row r="1" spans="1:26" ht="16.5" customHeight="1" x14ac:dyDescent="0.2">
      <c r="A1" s="75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37.5" customHeight="1" x14ac:dyDescent="0.2">
      <c r="A2" s="78"/>
      <c r="B2" s="227" t="s">
        <v>168</v>
      </c>
      <c r="C2" s="228"/>
      <c r="D2" s="228"/>
      <c r="E2" s="228"/>
      <c r="F2" s="228"/>
      <c r="G2" s="228"/>
      <c r="H2" s="228"/>
      <c r="I2" s="229"/>
      <c r="J2" s="79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6.5" customHeight="1" x14ac:dyDescent="0.2">
      <c r="A3" s="77"/>
      <c r="B3" s="146"/>
      <c r="C3" s="146"/>
      <c r="D3" s="146"/>
      <c r="E3" s="146"/>
      <c r="F3" s="146"/>
      <c r="G3" s="146"/>
      <c r="H3" s="146"/>
      <c r="I3" s="14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5.75" customHeight="1" x14ac:dyDescent="0.2">
      <c r="A4" s="77"/>
      <c r="B4" s="148"/>
      <c r="C4" s="148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5.5" customHeight="1" x14ac:dyDescent="0.2">
      <c r="A5" s="89"/>
      <c r="B5" s="149" t="s">
        <v>66</v>
      </c>
      <c r="C5" s="150">
        <v>82000</v>
      </c>
      <c r="D5" s="79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25.5" customHeight="1" x14ac:dyDescent="0.2">
      <c r="A6" s="77"/>
      <c r="B6" s="83"/>
      <c r="C6" s="83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25.5" customHeight="1" x14ac:dyDescent="0.2">
      <c r="A7" s="89"/>
      <c r="B7" s="149" t="s">
        <v>169</v>
      </c>
      <c r="C7" s="151">
        <v>1.4999999999999999E-2</v>
      </c>
      <c r="D7" s="79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25.5" customHeight="1" x14ac:dyDescent="0.2">
      <c r="A8" s="77"/>
      <c r="B8" s="83"/>
      <c r="C8" s="83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5.5" customHeight="1" x14ac:dyDescent="0.2">
      <c r="A9" s="89"/>
      <c r="B9" s="149" t="s">
        <v>170</v>
      </c>
      <c r="C9" s="150">
        <f t="array" ref="C9">NPV(C7,D67:I67) - C5</f>
        <v>29390.247500096229</v>
      </c>
      <c r="D9" s="79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25.5" customHeight="1" x14ac:dyDescent="0.2">
      <c r="A10" s="77"/>
      <c r="B10" s="83"/>
      <c r="C10" s="83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25.5" customHeight="1" x14ac:dyDescent="0.2">
      <c r="A11" s="89"/>
      <c r="B11" s="149" t="s">
        <v>67</v>
      </c>
      <c r="C11" s="151">
        <f>IRR(C67:I67)</f>
        <v>0.11301984878803828</v>
      </c>
      <c r="D11" s="79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.75" customHeight="1" x14ac:dyDescent="0.2">
      <c r="A12" s="77"/>
      <c r="B12" s="146"/>
      <c r="C12" s="146"/>
      <c r="D12" s="148"/>
      <c r="E12" s="148"/>
      <c r="F12" s="148"/>
      <c r="G12" s="148"/>
      <c r="H12" s="148"/>
      <c r="I12" s="148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6.5" customHeight="1" x14ac:dyDescent="0.2">
      <c r="A13" s="77"/>
      <c r="B13" s="80"/>
      <c r="C13" s="84"/>
      <c r="D13" s="230" t="s">
        <v>140</v>
      </c>
      <c r="E13" s="231"/>
      <c r="F13" s="232"/>
      <c r="G13" s="233" t="s">
        <v>141</v>
      </c>
      <c r="H13" s="231"/>
      <c r="I13" s="234"/>
      <c r="J13" s="79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6.5" customHeight="1" x14ac:dyDescent="0.2">
      <c r="A14" s="77"/>
      <c r="B14" s="76"/>
      <c r="C14" s="85"/>
      <c r="D14" s="152" t="s">
        <v>71</v>
      </c>
      <c r="E14" s="87" t="s">
        <v>72</v>
      </c>
      <c r="F14" s="87" t="s">
        <v>73</v>
      </c>
      <c r="G14" s="87" t="s">
        <v>74</v>
      </c>
      <c r="H14" s="87" t="s">
        <v>75</v>
      </c>
      <c r="I14" s="153" t="s">
        <v>76</v>
      </c>
      <c r="J14" s="79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5.75" customHeight="1" x14ac:dyDescent="0.2">
      <c r="A15" s="89"/>
      <c r="B15" s="154" t="s">
        <v>142</v>
      </c>
      <c r="C15" s="155" t="s">
        <v>5</v>
      </c>
      <c r="D15" s="156">
        <f t="shared" ref="D15:I15" si="0">SUM(D16)</f>
        <v>85000</v>
      </c>
      <c r="E15" s="157">
        <f t="shared" si="0"/>
        <v>85000</v>
      </c>
      <c r="F15" s="157">
        <f t="shared" si="0"/>
        <v>85000</v>
      </c>
      <c r="G15" s="157">
        <f t="shared" si="0"/>
        <v>85000</v>
      </c>
      <c r="H15" s="157">
        <f t="shared" si="0"/>
        <v>85000</v>
      </c>
      <c r="I15" s="158">
        <f t="shared" si="0"/>
        <v>85000</v>
      </c>
      <c r="J15" s="79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5.75" customHeight="1" x14ac:dyDescent="0.2">
      <c r="A16" s="89"/>
      <c r="B16" s="159" t="s">
        <v>171</v>
      </c>
      <c r="C16" s="160"/>
      <c r="D16" s="161">
        <v>85000</v>
      </c>
      <c r="E16" s="162">
        <v>85000</v>
      </c>
      <c r="F16" s="162">
        <v>85000</v>
      </c>
      <c r="G16" s="162">
        <v>85000</v>
      </c>
      <c r="H16" s="162">
        <v>85000</v>
      </c>
      <c r="I16" s="163">
        <v>85000</v>
      </c>
      <c r="J16" s="79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5.75" customHeight="1" x14ac:dyDescent="0.2">
      <c r="A17" s="89"/>
      <c r="B17" s="164"/>
      <c r="C17" s="165"/>
      <c r="D17" s="156"/>
      <c r="E17" s="157"/>
      <c r="F17" s="157"/>
      <c r="G17" s="157"/>
      <c r="H17" s="157"/>
      <c r="I17" s="158"/>
      <c r="J17" s="79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5.75" customHeight="1" x14ac:dyDescent="0.2">
      <c r="A18" s="89"/>
      <c r="B18" s="154" t="s">
        <v>143</v>
      </c>
      <c r="C18" s="155" t="s">
        <v>14</v>
      </c>
      <c r="D18" s="156">
        <f t="shared" ref="D18:I18" si="1">SUM(D19:D21)</f>
        <v>6460</v>
      </c>
      <c r="E18" s="157">
        <f t="shared" si="1"/>
        <v>6460</v>
      </c>
      <c r="F18" s="157">
        <f t="shared" si="1"/>
        <v>6460</v>
      </c>
      <c r="G18" s="157">
        <f t="shared" si="1"/>
        <v>6460</v>
      </c>
      <c r="H18" s="157">
        <f t="shared" si="1"/>
        <v>6460</v>
      </c>
      <c r="I18" s="158">
        <f t="shared" si="1"/>
        <v>6460</v>
      </c>
      <c r="J18" s="79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.75" customHeight="1" x14ac:dyDescent="0.2">
      <c r="A19" s="89"/>
      <c r="B19" s="159" t="s">
        <v>144</v>
      </c>
      <c r="C19" s="160"/>
      <c r="D19" s="161">
        <f t="shared" ref="D19:I19" si="2">0.65%*D15</f>
        <v>552.5</v>
      </c>
      <c r="E19" s="162">
        <f t="shared" si="2"/>
        <v>552.5</v>
      </c>
      <c r="F19" s="162">
        <f t="shared" si="2"/>
        <v>552.5</v>
      </c>
      <c r="G19" s="162">
        <f t="shared" si="2"/>
        <v>552.5</v>
      </c>
      <c r="H19" s="162">
        <f t="shared" si="2"/>
        <v>552.5</v>
      </c>
      <c r="I19" s="163">
        <f t="shared" si="2"/>
        <v>552.5</v>
      </c>
      <c r="J19" s="79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5.75" customHeight="1" x14ac:dyDescent="0.2">
      <c r="A20" s="89"/>
      <c r="B20" s="166" t="s">
        <v>145</v>
      </c>
      <c r="C20" s="167"/>
      <c r="D20" s="161">
        <f t="shared" ref="D20:I20" si="3">3%*D15</f>
        <v>2550</v>
      </c>
      <c r="E20" s="162">
        <f t="shared" si="3"/>
        <v>2550</v>
      </c>
      <c r="F20" s="162">
        <f t="shared" si="3"/>
        <v>2550</v>
      </c>
      <c r="G20" s="162">
        <f t="shared" si="3"/>
        <v>2550</v>
      </c>
      <c r="H20" s="162">
        <f t="shared" si="3"/>
        <v>2550</v>
      </c>
      <c r="I20" s="163">
        <f t="shared" si="3"/>
        <v>2550</v>
      </c>
      <c r="J20" s="79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5.75" customHeight="1" x14ac:dyDescent="0.2">
      <c r="A21" s="89"/>
      <c r="B21" s="166" t="s">
        <v>146</v>
      </c>
      <c r="C21" s="167"/>
      <c r="D21" s="161">
        <f t="shared" ref="D21:I21" si="4">3.95%*D15</f>
        <v>3357.5</v>
      </c>
      <c r="E21" s="162">
        <f t="shared" si="4"/>
        <v>3357.5</v>
      </c>
      <c r="F21" s="162">
        <f t="shared" si="4"/>
        <v>3357.5</v>
      </c>
      <c r="G21" s="162">
        <f t="shared" si="4"/>
        <v>3357.5</v>
      </c>
      <c r="H21" s="162">
        <f t="shared" si="4"/>
        <v>3357.5</v>
      </c>
      <c r="I21" s="163">
        <f t="shared" si="4"/>
        <v>3357.5</v>
      </c>
      <c r="J21" s="79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5.75" customHeight="1" x14ac:dyDescent="0.2">
      <c r="A22" s="89"/>
      <c r="B22" s="164"/>
      <c r="C22" s="165"/>
      <c r="D22" s="156"/>
      <c r="E22" s="157"/>
      <c r="F22" s="157"/>
      <c r="G22" s="157"/>
      <c r="H22" s="157"/>
      <c r="I22" s="158"/>
      <c r="J22" s="79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5.75" customHeight="1" x14ac:dyDescent="0.2">
      <c r="A23" s="89"/>
      <c r="B23" s="154" t="s">
        <v>147</v>
      </c>
      <c r="C23" s="155" t="s">
        <v>10</v>
      </c>
      <c r="D23" s="156">
        <f t="shared" ref="D23:I23" si="5">SUM(D24:D25)</f>
        <v>1000</v>
      </c>
      <c r="E23" s="157">
        <f t="shared" si="5"/>
        <v>1000</v>
      </c>
      <c r="F23" s="157">
        <f t="shared" si="5"/>
        <v>1000</v>
      </c>
      <c r="G23" s="157">
        <f t="shared" si="5"/>
        <v>1000</v>
      </c>
      <c r="H23" s="157">
        <f t="shared" si="5"/>
        <v>1000</v>
      </c>
      <c r="I23" s="158">
        <f t="shared" si="5"/>
        <v>1000</v>
      </c>
      <c r="J23" s="79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.75" customHeight="1" x14ac:dyDescent="0.2">
      <c r="A24" s="89"/>
      <c r="B24" s="159" t="s">
        <v>11</v>
      </c>
      <c r="C24" s="160"/>
      <c r="D24" s="161">
        <v>0</v>
      </c>
      <c r="E24" s="162">
        <v>0</v>
      </c>
      <c r="F24" s="162">
        <v>0</v>
      </c>
      <c r="G24" s="162">
        <v>0</v>
      </c>
      <c r="H24" s="162">
        <v>0</v>
      </c>
      <c r="I24" s="163">
        <v>0</v>
      </c>
      <c r="J24" s="79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5.75" customHeight="1" x14ac:dyDescent="0.2">
      <c r="A25" s="89"/>
      <c r="B25" s="166" t="s">
        <v>12</v>
      </c>
      <c r="C25" s="167"/>
      <c r="D25" s="161">
        <v>1000</v>
      </c>
      <c r="E25" s="162">
        <v>1000</v>
      </c>
      <c r="F25" s="162">
        <v>1000</v>
      </c>
      <c r="G25" s="162">
        <v>1000</v>
      </c>
      <c r="H25" s="162">
        <v>1000</v>
      </c>
      <c r="I25" s="163">
        <v>1000</v>
      </c>
      <c r="J25" s="79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5.75" customHeight="1" x14ac:dyDescent="0.2">
      <c r="A26" s="89"/>
      <c r="B26" s="168"/>
      <c r="C26" s="165"/>
      <c r="D26" s="161"/>
      <c r="E26" s="162"/>
      <c r="F26" s="162"/>
      <c r="G26" s="162"/>
      <c r="H26" s="162"/>
      <c r="I26" s="163"/>
      <c r="J26" s="79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5.75" customHeight="1" x14ac:dyDescent="0.2">
      <c r="A27" s="89"/>
      <c r="B27" s="154" t="s">
        <v>148</v>
      </c>
      <c r="C27" s="155" t="s">
        <v>18</v>
      </c>
      <c r="D27" s="156">
        <f t="shared" ref="D27:I27" si="6">D15-D18-D23</f>
        <v>77540</v>
      </c>
      <c r="E27" s="157">
        <f t="shared" si="6"/>
        <v>77540</v>
      </c>
      <c r="F27" s="157">
        <f t="shared" si="6"/>
        <v>77540</v>
      </c>
      <c r="G27" s="157">
        <f t="shared" si="6"/>
        <v>77540</v>
      </c>
      <c r="H27" s="157">
        <f t="shared" si="6"/>
        <v>77540</v>
      </c>
      <c r="I27" s="158">
        <f t="shared" si="6"/>
        <v>77540</v>
      </c>
      <c r="J27" s="79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5.75" customHeight="1" x14ac:dyDescent="0.2">
      <c r="A28" s="89"/>
      <c r="B28" s="169"/>
      <c r="C28" s="170"/>
      <c r="D28" s="156"/>
      <c r="E28" s="157"/>
      <c r="F28" s="157"/>
      <c r="G28" s="157"/>
      <c r="H28" s="157"/>
      <c r="I28" s="158"/>
      <c r="J28" s="79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5.75" customHeight="1" x14ac:dyDescent="0.2">
      <c r="A29" s="89"/>
      <c r="B29" s="171" t="s">
        <v>149</v>
      </c>
      <c r="C29" s="155" t="s">
        <v>20</v>
      </c>
      <c r="D29" s="156">
        <f t="shared" ref="D29:I29" si="7">SUM(D30)</f>
        <v>28000</v>
      </c>
      <c r="E29" s="157">
        <f t="shared" si="7"/>
        <v>28000</v>
      </c>
      <c r="F29" s="157">
        <f t="shared" si="7"/>
        <v>28000</v>
      </c>
      <c r="G29" s="157">
        <f t="shared" si="7"/>
        <v>28000</v>
      </c>
      <c r="H29" s="157">
        <f t="shared" si="7"/>
        <v>28000</v>
      </c>
      <c r="I29" s="158">
        <f t="shared" si="7"/>
        <v>28000</v>
      </c>
      <c r="J29" s="79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5.75" customHeight="1" x14ac:dyDescent="0.2">
      <c r="A30" s="89"/>
      <c r="B30" s="159" t="s">
        <v>172</v>
      </c>
      <c r="C30" s="172"/>
      <c r="D30" s="161">
        <v>28000</v>
      </c>
      <c r="E30" s="162">
        <v>28000</v>
      </c>
      <c r="F30" s="162">
        <v>28000</v>
      </c>
      <c r="G30" s="162">
        <v>28000</v>
      </c>
      <c r="H30" s="162">
        <v>28000</v>
      </c>
      <c r="I30" s="163">
        <v>28000</v>
      </c>
      <c r="J30" s="79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5.75" customHeight="1" x14ac:dyDescent="0.2">
      <c r="A31" s="89"/>
      <c r="B31" s="173"/>
      <c r="C31" s="174"/>
      <c r="D31" s="156"/>
      <c r="E31" s="157"/>
      <c r="F31" s="157"/>
      <c r="G31" s="157"/>
      <c r="H31" s="157"/>
      <c r="I31" s="158"/>
      <c r="J31" s="79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5.75" customHeight="1" x14ac:dyDescent="0.2">
      <c r="A32" s="89"/>
      <c r="B32" s="175" t="s">
        <v>150</v>
      </c>
      <c r="C32" s="176" t="s">
        <v>22</v>
      </c>
      <c r="D32" s="156">
        <f t="shared" ref="D32:I32" si="8">D27-D29</f>
        <v>49540</v>
      </c>
      <c r="E32" s="157">
        <f t="shared" si="8"/>
        <v>49540</v>
      </c>
      <c r="F32" s="157">
        <f t="shared" si="8"/>
        <v>49540</v>
      </c>
      <c r="G32" s="157">
        <f t="shared" si="8"/>
        <v>49540</v>
      </c>
      <c r="H32" s="157">
        <f t="shared" si="8"/>
        <v>49540</v>
      </c>
      <c r="I32" s="158">
        <f t="shared" si="8"/>
        <v>49540</v>
      </c>
      <c r="J32" s="79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2">
      <c r="A33" s="89"/>
      <c r="B33" s="175" t="s">
        <v>23</v>
      </c>
      <c r="C33" s="177" t="s">
        <v>24</v>
      </c>
      <c r="D33" s="178">
        <f t="shared" ref="D33:I33" si="9">D32/D27</f>
        <v>0.63889605364972912</v>
      </c>
      <c r="E33" s="179">
        <f t="shared" si="9"/>
        <v>0.63889605364972912</v>
      </c>
      <c r="F33" s="179">
        <f t="shared" si="9"/>
        <v>0.63889605364972912</v>
      </c>
      <c r="G33" s="179">
        <f t="shared" si="9"/>
        <v>0.63889605364972912</v>
      </c>
      <c r="H33" s="179">
        <f t="shared" si="9"/>
        <v>0.63889605364972912</v>
      </c>
      <c r="I33" s="180">
        <f t="shared" si="9"/>
        <v>0.63889605364972912</v>
      </c>
      <c r="J33" s="79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75" customHeight="1" x14ac:dyDescent="0.2">
      <c r="A34" s="89"/>
      <c r="B34" s="173"/>
      <c r="C34" s="181"/>
      <c r="D34" s="182"/>
      <c r="E34" s="183"/>
      <c r="F34" s="183"/>
      <c r="G34" s="183"/>
      <c r="H34" s="183"/>
      <c r="I34" s="184"/>
      <c r="J34" s="79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2">
      <c r="A35" s="89"/>
      <c r="B35" s="175" t="s">
        <v>151</v>
      </c>
      <c r="C35" s="176" t="s">
        <v>26</v>
      </c>
      <c r="D35" s="156">
        <f t="shared" ref="D35:I35" si="10">D36+D43</f>
        <v>26775</v>
      </c>
      <c r="E35" s="157">
        <f t="shared" si="10"/>
        <v>26775</v>
      </c>
      <c r="F35" s="157">
        <f t="shared" si="10"/>
        <v>26775</v>
      </c>
      <c r="G35" s="157">
        <f t="shared" si="10"/>
        <v>26775</v>
      </c>
      <c r="H35" s="157">
        <f t="shared" si="10"/>
        <v>26775</v>
      </c>
      <c r="I35" s="158">
        <f t="shared" si="10"/>
        <v>26775</v>
      </c>
      <c r="J35" s="79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75" customHeight="1" x14ac:dyDescent="0.2">
      <c r="A36" s="89"/>
      <c r="B36" s="175" t="s">
        <v>152</v>
      </c>
      <c r="C36" s="185" t="s">
        <v>28</v>
      </c>
      <c r="D36" s="156">
        <f t="shared" ref="D36:I36" si="11">SUM(D37:D39)</f>
        <v>2975</v>
      </c>
      <c r="E36" s="157">
        <f t="shared" si="11"/>
        <v>2975</v>
      </c>
      <c r="F36" s="157">
        <f t="shared" si="11"/>
        <v>2975</v>
      </c>
      <c r="G36" s="157">
        <f t="shared" si="11"/>
        <v>2975</v>
      </c>
      <c r="H36" s="157">
        <f t="shared" si="11"/>
        <v>2975</v>
      </c>
      <c r="I36" s="158">
        <f t="shared" si="11"/>
        <v>2975</v>
      </c>
      <c r="J36" s="79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5.75" customHeight="1" x14ac:dyDescent="0.2">
      <c r="A37" s="89"/>
      <c r="B37" s="166" t="s">
        <v>153</v>
      </c>
      <c r="C37" s="172"/>
      <c r="D37" s="161">
        <f t="shared" ref="D37:I37" si="12">1.5%*D15</f>
        <v>1275</v>
      </c>
      <c r="E37" s="162">
        <f t="shared" si="12"/>
        <v>1275</v>
      </c>
      <c r="F37" s="162">
        <f t="shared" si="12"/>
        <v>1275</v>
      </c>
      <c r="G37" s="162">
        <f t="shared" si="12"/>
        <v>1275</v>
      </c>
      <c r="H37" s="162">
        <f t="shared" si="12"/>
        <v>1275</v>
      </c>
      <c r="I37" s="163">
        <f t="shared" si="12"/>
        <v>1275</v>
      </c>
      <c r="J37" s="79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2">
      <c r="A38" s="89"/>
      <c r="B38" s="166" t="s">
        <v>154</v>
      </c>
      <c r="C38" s="158"/>
      <c r="D38" s="161">
        <f t="shared" ref="D38:I38" si="13">2%*D15</f>
        <v>1700</v>
      </c>
      <c r="E38" s="162">
        <f t="shared" si="13"/>
        <v>1700</v>
      </c>
      <c r="F38" s="162">
        <f t="shared" si="13"/>
        <v>1700</v>
      </c>
      <c r="G38" s="162">
        <f t="shared" si="13"/>
        <v>1700</v>
      </c>
      <c r="H38" s="162">
        <f t="shared" si="13"/>
        <v>1700</v>
      </c>
      <c r="I38" s="163">
        <f t="shared" si="13"/>
        <v>1700</v>
      </c>
      <c r="J38" s="79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2">
      <c r="A39" s="89"/>
      <c r="B39" s="166"/>
      <c r="C39" s="174"/>
      <c r="D39" s="161"/>
      <c r="E39" s="162"/>
      <c r="F39" s="162"/>
      <c r="G39" s="162"/>
      <c r="H39" s="162"/>
      <c r="I39" s="163"/>
      <c r="J39" s="79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2">
      <c r="A40" s="89"/>
      <c r="B40" s="175" t="s">
        <v>155</v>
      </c>
      <c r="C40" s="176" t="s">
        <v>33</v>
      </c>
      <c r="D40" s="156">
        <f t="shared" ref="D40:I40" si="14">D32-D36</f>
        <v>46565</v>
      </c>
      <c r="E40" s="157">
        <f t="shared" si="14"/>
        <v>46565</v>
      </c>
      <c r="F40" s="157">
        <f t="shared" si="14"/>
        <v>46565</v>
      </c>
      <c r="G40" s="157">
        <f t="shared" si="14"/>
        <v>46565</v>
      </c>
      <c r="H40" s="157">
        <f t="shared" si="14"/>
        <v>46565</v>
      </c>
      <c r="I40" s="158">
        <f t="shared" si="14"/>
        <v>46565</v>
      </c>
      <c r="J40" s="79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2">
      <c r="A41" s="89"/>
      <c r="B41" s="175" t="s">
        <v>34</v>
      </c>
      <c r="C41" s="176" t="s">
        <v>35</v>
      </c>
      <c r="D41" s="178">
        <f t="shared" ref="D41:I41" si="15">D40/D27</f>
        <v>0.60052875935001293</v>
      </c>
      <c r="E41" s="179">
        <f t="shared" si="15"/>
        <v>0.60052875935001293</v>
      </c>
      <c r="F41" s="179">
        <f t="shared" si="15"/>
        <v>0.60052875935001293</v>
      </c>
      <c r="G41" s="179">
        <f t="shared" si="15"/>
        <v>0.60052875935001293</v>
      </c>
      <c r="H41" s="179">
        <f t="shared" si="15"/>
        <v>0.60052875935001293</v>
      </c>
      <c r="I41" s="180">
        <f t="shared" si="15"/>
        <v>0.60052875935001293</v>
      </c>
      <c r="J41" s="79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2">
      <c r="A42" s="89"/>
      <c r="B42" s="173"/>
      <c r="C42" s="181"/>
      <c r="D42" s="182"/>
      <c r="E42" s="183"/>
      <c r="F42" s="183"/>
      <c r="G42" s="183"/>
      <c r="H42" s="183"/>
      <c r="I42" s="184"/>
      <c r="J42" s="79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2">
      <c r="A43" s="89"/>
      <c r="B43" s="175" t="s">
        <v>156</v>
      </c>
      <c r="C43" s="185" t="s">
        <v>37</v>
      </c>
      <c r="D43" s="156">
        <f t="shared" ref="D43:I43" si="16">SUM(D44:D47)</f>
        <v>23800</v>
      </c>
      <c r="E43" s="157">
        <f t="shared" si="16"/>
        <v>23800</v>
      </c>
      <c r="F43" s="157">
        <f t="shared" si="16"/>
        <v>23800</v>
      </c>
      <c r="G43" s="157">
        <f t="shared" si="16"/>
        <v>23800</v>
      </c>
      <c r="H43" s="157">
        <f t="shared" si="16"/>
        <v>23800</v>
      </c>
      <c r="I43" s="158">
        <f t="shared" si="16"/>
        <v>23800</v>
      </c>
      <c r="J43" s="79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2">
      <c r="A44" s="89"/>
      <c r="B44" s="166" t="s">
        <v>173</v>
      </c>
      <c r="C44" s="172"/>
      <c r="D44" s="161">
        <v>10400</v>
      </c>
      <c r="E44" s="162">
        <v>10400</v>
      </c>
      <c r="F44" s="162">
        <v>10400</v>
      </c>
      <c r="G44" s="162">
        <v>10400</v>
      </c>
      <c r="H44" s="162">
        <v>10400</v>
      </c>
      <c r="I44" s="163">
        <v>10400</v>
      </c>
      <c r="J44" s="79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2">
      <c r="A45" s="89"/>
      <c r="B45" s="166" t="s">
        <v>64</v>
      </c>
      <c r="C45" s="158"/>
      <c r="D45" s="161">
        <v>6800</v>
      </c>
      <c r="E45" s="162">
        <v>6800</v>
      </c>
      <c r="F45" s="162">
        <v>6800</v>
      </c>
      <c r="G45" s="162">
        <v>6800</v>
      </c>
      <c r="H45" s="162">
        <v>6800</v>
      </c>
      <c r="I45" s="163">
        <v>6800</v>
      </c>
      <c r="J45" s="79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2">
      <c r="A46" s="89"/>
      <c r="B46" s="166" t="s">
        <v>65</v>
      </c>
      <c r="C46" s="158"/>
      <c r="D46" s="161">
        <v>6600</v>
      </c>
      <c r="E46" s="162">
        <v>6600</v>
      </c>
      <c r="F46" s="162">
        <v>6600</v>
      </c>
      <c r="G46" s="162">
        <v>6600</v>
      </c>
      <c r="H46" s="162">
        <v>6600</v>
      </c>
      <c r="I46" s="163">
        <v>6600</v>
      </c>
      <c r="J46" s="79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2">
      <c r="A47" s="89"/>
      <c r="B47" s="166"/>
      <c r="C47" s="174"/>
      <c r="D47" s="161"/>
      <c r="E47" s="162"/>
      <c r="F47" s="162"/>
      <c r="G47" s="162"/>
      <c r="H47" s="162"/>
      <c r="I47" s="163"/>
      <c r="J47" s="79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2">
      <c r="A48" s="89"/>
      <c r="B48" s="175" t="s">
        <v>159</v>
      </c>
      <c r="C48" s="186" t="s">
        <v>41</v>
      </c>
      <c r="D48" s="187">
        <f t="shared" ref="D48:I48" si="17">D40-D43</f>
        <v>22765</v>
      </c>
      <c r="E48" s="188">
        <f t="shared" si="17"/>
        <v>22765</v>
      </c>
      <c r="F48" s="188">
        <f t="shared" si="17"/>
        <v>22765</v>
      </c>
      <c r="G48" s="188">
        <f t="shared" si="17"/>
        <v>22765</v>
      </c>
      <c r="H48" s="188">
        <f t="shared" si="17"/>
        <v>22765</v>
      </c>
      <c r="I48" s="189">
        <f t="shared" si="17"/>
        <v>22765</v>
      </c>
      <c r="J48" s="79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2">
      <c r="A49" s="89"/>
      <c r="B49" s="175" t="s">
        <v>42</v>
      </c>
      <c r="C49" s="190" t="s">
        <v>43</v>
      </c>
      <c r="D49" s="191">
        <f t="shared" ref="D49:I49" si="18">D48/D27</f>
        <v>0.29359040495228267</v>
      </c>
      <c r="E49" s="192">
        <f t="shared" si="18"/>
        <v>0.29359040495228267</v>
      </c>
      <c r="F49" s="192">
        <f t="shared" si="18"/>
        <v>0.29359040495228267</v>
      </c>
      <c r="G49" s="192">
        <f t="shared" si="18"/>
        <v>0.29359040495228267</v>
      </c>
      <c r="H49" s="192">
        <f t="shared" si="18"/>
        <v>0.29359040495228267</v>
      </c>
      <c r="I49" s="193">
        <f t="shared" si="18"/>
        <v>0.29359040495228267</v>
      </c>
      <c r="J49" s="79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2">
      <c r="A50" s="89"/>
      <c r="B50" s="173"/>
      <c r="C50" s="194"/>
      <c r="D50" s="191"/>
      <c r="E50" s="192"/>
      <c r="F50" s="192"/>
      <c r="G50" s="192"/>
      <c r="H50" s="192"/>
      <c r="I50" s="193"/>
      <c r="J50" s="79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2">
      <c r="A51" s="89"/>
      <c r="B51" s="175" t="s">
        <v>160</v>
      </c>
      <c r="C51" s="185" t="s">
        <v>45</v>
      </c>
      <c r="D51" s="156">
        <f t="shared" ref="D51:I51" si="19">D52-D53</f>
        <v>0</v>
      </c>
      <c r="E51" s="157">
        <f t="shared" si="19"/>
        <v>0</v>
      </c>
      <c r="F51" s="157">
        <f t="shared" si="19"/>
        <v>0</v>
      </c>
      <c r="G51" s="157">
        <f t="shared" si="19"/>
        <v>0</v>
      </c>
      <c r="H51" s="157">
        <f t="shared" si="19"/>
        <v>0</v>
      </c>
      <c r="I51" s="158">
        <f t="shared" si="19"/>
        <v>0</v>
      </c>
      <c r="J51" s="79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2">
      <c r="A52" s="89"/>
      <c r="B52" s="166" t="s">
        <v>46</v>
      </c>
      <c r="C52" s="172"/>
      <c r="D52" s="161">
        <v>0</v>
      </c>
      <c r="E52" s="162">
        <v>0</v>
      </c>
      <c r="F52" s="162">
        <v>0</v>
      </c>
      <c r="G52" s="162">
        <v>0</v>
      </c>
      <c r="H52" s="162">
        <v>0</v>
      </c>
      <c r="I52" s="163">
        <v>0</v>
      </c>
      <c r="J52" s="79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2">
      <c r="A53" s="89"/>
      <c r="B53" s="166" t="s">
        <v>47</v>
      </c>
      <c r="C53" s="158"/>
      <c r="D53" s="161">
        <v>0</v>
      </c>
      <c r="E53" s="162">
        <v>0</v>
      </c>
      <c r="F53" s="162">
        <v>0</v>
      </c>
      <c r="G53" s="162">
        <v>0</v>
      </c>
      <c r="H53" s="162">
        <v>0</v>
      </c>
      <c r="I53" s="163">
        <v>0</v>
      </c>
      <c r="J53" s="79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2">
      <c r="A54" s="89"/>
      <c r="B54" s="173"/>
      <c r="C54" s="195"/>
      <c r="D54" s="182"/>
      <c r="E54" s="183"/>
      <c r="F54" s="183"/>
      <c r="G54" s="183"/>
      <c r="H54" s="183"/>
      <c r="I54" s="184"/>
      <c r="J54" s="79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2">
      <c r="A55" s="89"/>
      <c r="B55" s="175" t="s">
        <v>161</v>
      </c>
      <c r="C55" s="185" t="s">
        <v>49</v>
      </c>
      <c r="D55" s="156">
        <f t="shared" ref="D55:I55" si="20">D56+D57</f>
        <v>291.67</v>
      </c>
      <c r="E55" s="157">
        <f t="shared" si="20"/>
        <v>291.67</v>
      </c>
      <c r="F55" s="157">
        <f t="shared" si="20"/>
        <v>291.67</v>
      </c>
      <c r="G55" s="157">
        <f t="shared" si="20"/>
        <v>291.67</v>
      </c>
      <c r="H55" s="157">
        <f t="shared" si="20"/>
        <v>291.67</v>
      </c>
      <c r="I55" s="158">
        <f t="shared" si="20"/>
        <v>291.67</v>
      </c>
      <c r="J55" s="79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2">
      <c r="A56" s="89"/>
      <c r="B56" s="166" t="s">
        <v>162</v>
      </c>
      <c r="C56" s="196"/>
      <c r="D56" s="161">
        <v>0</v>
      </c>
      <c r="E56" s="162">
        <v>0</v>
      </c>
      <c r="F56" s="162">
        <v>0</v>
      </c>
      <c r="G56" s="162">
        <v>0</v>
      </c>
      <c r="H56" s="162">
        <v>0</v>
      </c>
      <c r="I56" s="163">
        <v>0</v>
      </c>
      <c r="J56" s="79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2">
      <c r="A57" s="89"/>
      <c r="B57" s="166" t="s">
        <v>163</v>
      </c>
      <c r="C57" s="184"/>
      <c r="D57" s="161">
        <v>291.67</v>
      </c>
      <c r="E57" s="162">
        <v>291.67</v>
      </c>
      <c r="F57" s="162">
        <v>291.67</v>
      </c>
      <c r="G57" s="162">
        <v>291.67</v>
      </c>
      <c r="H57" s="162">
        <v>291.67</v>
      </c>
      <c r="I57" s="163">
        <v>291.67</v>
      </c>
      <c r="J57" s="79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2">
      <c r="A58" s="89"/>
      <c r="B58" s="173"/>
      <c r="C58" s="195"/>
      <c r="D58" s="182"/>
      <c r="E58" s="183"/>
      <c r="F58" s="183"/>
      <c r="G58" s="183"/>
      <c r="H58" s="183"/>
      <c r="I58" s="184"/>
      <c r="J58" s="79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2">
      <c r="A59" s="89"/>
      <c r="B59" s="175" t="s">
        <v>164</v>
      </c>
      <c r="C59" s="176" t="s">
        <v>53</v>
      </c>
      <c r="D59" s="156">
        <f t="shared" ref="D59:I59" si="21">D48-D51-D55</f>
        <v>22473.33</v>
      </c>
      <c r="E59" s="157">
        <f t="shared" si="21"/>
        <v>22473.33</v>
      </c>
      <c r="F59" s="157">
        <f t="shared" si="21"/>
        <v>22473.33</v>
      </c>
      <c r="G59" s="157">
        <f t="shared" si="21"/>
        <v>22473.33</v>
      </c>
      <c r="H59" s="157">
        <f t="shared" si="21"/>
        <v>22473.33</v>
      </c>
      <c r="I59" s="158">
        <f t="shared" si="21"/>
        <v>22473.33</v>
      </c>
      <c r="J59" s="79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2">
      <c r="A60" s="89"/>
      <c r="B60" s="173"/>
      <c r="C60" s="181"/>
      <c r="D60" s="182"/>
      <c r="E60" s="183"/>
      <c r="F60" s="183"/>
      <c r="G60" s="183"/>
      <c r="H60" s="183"/>
      <c r="I60" s="184"/>
      <c r="J60" s="79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2">
      <c r="A61" s="89"/>
      <c r="B61" s="175" t="s">
        <v>165</v>
      </c>
      <c r="C61" s="185" t="s">
        <v>55</v>
      </c>
      <c r="D61" s="156">
        <f t="shared" ref="D61:I61" si="22">SUM(D62)</f>
        <v>2921.5329000000002</v>
      </c>
      <c r="E61" s="157">
        <f t="shared" si="22"/>
        <v>2921.5329000000002</v>
      </c>
      <c r="F61" s="157">
        <f t="shared" si="22"/>
        <v>2921.5329000000002</v>
      </c>
      <c r="G61" s="157">
        <f t="shared" si="22"/>
        <v>2921.5329000000002</v>
      </c>
      <c r="H61" s="157">
        <f t="shared" si="22"/>
        <v>2921.5329000000002</v>
      </c>
      <c r="I61" s="158">
        <f t="shared" si="22"/>
        <v>2921.5329000000002</v>
      </c>
      <c r="J61" s="79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2">
      <c r="A62" s="89"/>
      <c r="B62" s="166" t="s">
        <v>166</v>
      </c>
      <c r="C62" s="172"/>
      <c r="D62" s="161">
        <f t="shared" ref="D62:I62" si="23">13%*D59</f>
        <v>2921.5329000000002</v>
      </c>
      <c r="E62" s="162">
        <f t="shared" si="23"/>
        <v>2921.5329000000002</v>
      </c>
      <c r="F62" s="162">
        <f t="shared" si="23"/>
        <v>2921.5329000000002</v>
      </c>
      <c r="G62" s="162">
        <f t="shared" si="23"/>
        <v>2921.5329000000002</v>
      </c>
      <c r="H62" s="162">
        <f t="shared" si="23"/>
        <v>2921.5329000000002</v>
      </c>
      <c r="I62" s="163">
        <f t="shared" si="23"/>
        <v>2921.5329000000002</v>
      </c>
      <c r="J62" s="79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75" customHeight="1" x14ac:dyDescent="0.2">
      <c r="A63" s="89"/>
      <c r="B63" s="173"/>
      <c r="C63" s="195"/>
      <c r="D63" s="182"/>
      <c r="E63" s="183"/>
      <c r="F63" s="183"/>
      <c r="G63" s="183"/>
      <c r="H63" s="183"/>
      <c r="I63" s="184"/>
      <c r="J63" s="79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75" customHeight="1" x14ac:dyDescent="0.2">
      <c r="A64" s="89"/>
      <c r="B64" s="175" t="s">
        <v>167</v>
      </c>
      <c r="C64" s="176" t="s">
        <v>58</v>
      </c>
      <c r="D64" s="156">
        <f t="shared" ref="D64:I64" si="24">D59-D61</f>
        <v>19551.797100000003</v>
      </c>
      <c r="E64" s="157">
        <f t="shared" si="24"/>
        <v>19551.797100000003</v>
      </c>
      <c r="F64" s="157">
        <f t="shared" si="24"/>
        <v>19551.797100000003</v>
      </c>
      <c r="G64" s="157">
        <f t="shared" si="24"/>
        <v>19551.797100000003</v>
      </c>
      <c r="H64" s="157">
        <f t="shared" si="24"/>
        <v>19551.797100000003</v>
      </c>
      <c r="I64" s="158">
        <f t="shared" si="24"/>
        <v>19551.797100000003</v>
      </c>
      <c r="J64" s="79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2">
      <c r="A65" s="89"/>
      <c r="B65" s="175" t="s">
        <v>77</v>
      </c>
      <c r="C65" s="197" t="s">
        <v>60</v>
      </c>
      <c r="D65" s="178">
        <f t="shared" ref="D65:I65" si="25">D64/D27</f>
        <v>0.25215111039463506</v>
      </c>
      <c r="E65" s="179">
        <f t="shared" si="25"/>
        <v>0.25215111039463506</v>
      </c>
      <c r="F65" s="179">
        <f t="shared" si="25"/>
        <v>0.25215111039463506</v>
      </c>
      <c r="G65" s="179">
        <f t="shared" si="25"/>
        <v>0.25215111039463506</v>
      </c>
      <c r="H65" s="179">
        <f t="shared" si="25"/>
        <v>0.25215111039463506</v>
      </c>
      <c r="I65" s="180">
        <f t="shared" si="25"/>
        <v>0.25215111039463506</v>
      </c>
      <c r="J65" s="79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2">
      <c r="A66" s="89"/>
      <c r="B66" s="198"/>
      <c r="C66" s="199" t="s">
        <v>174</v>
      </c>
      <c r="D66" s="182"/>
      <c r="E66" s="183"/>
      <c r="F66" s="183"/>
      <c r="G66" s="183"/>
      <c r="H66" s="183"/>
      <c r="I66" s="184"/>
      <c r="J66" s="79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33.75" customHeight="1" x14ac:dyDescent="0.2">
      <c r="A67" s="89"/>
      <c r="B67" s="200" t="s">
        <v>78</v>
      </c>
      <c r="C67" s="201">
        <v>-82000</v>
      </c>
      <c r="D67" s="202">
        <f t="shared" ref="D67:I67" si="26">D64</f>
        <v>19551.797100000003</v>
      </c>
      <c r="E67" s="203">
        <f t="shared" si="26"/>
        <v>19551.797100000003</v>
      </c>
      <c r="F67" s="203">
        <f t="shared" si="26"/>
        <v>19551.797100000003</v>
      </c>
      <c r="G67" s="203">
        <f t="shared" si="26"/>
        <v>19551.797100000003</v>
      </c>
      <c r="H67" s="203">
        <f t="shared" si="26"/>
        <v>19551.797100000003</v>
      </c>
      <c r="I67" s="204">
        <f t="shared" si="26"/>
        <v>19551.797100000003</v>
      </c>
      <c r="J67" s="79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33.75" customHeight="1" x14ac:dyDescent="0.2">
      <c r="A68" s="89"/>
      <c r="B68" s="205" t="s">
        <v>79</v>
      </c>
      <c r="C68" s="206"/>
      <c r="D68" s="207">
        <v>55985.222099999999</v>
      </c>
      <c r="E68" s="208">
        <f t="shared" ref="E68:I68" si="27">E67+D68</f>
        <v>75537.01920000001</v>
      </c>
      <c r="F68" s="208">
        <f t="shared" si="27"/>
        <v>95088.816300000006</v>
      </c>
      <c r="G68" s="208">
        <f t="shared" si="27"/>
        <v>114640.6134</v>
      </c>
      <c r="H68" s="208">
        <f t="shared" si="27"/>
        <v>134192.4105</v>
      </c>
      <c r="I68" s="209">
        <f t="shared" si="27"/>
        <v>153744.20759999999</v>
      </c>
      <c r="J68" s="79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2">
      <c r="A69" s="77"/>
      <c r="B69" s="80"/>
      <c r="C69" s="81"/>
      <c r="D69" s="81"/>
      <c r="E69" s="146"/>
      <c r="F69" s="146"/>
      <c r="G69" s="146"/>
      <c r="H69" s="146"/>
      <c r="I69" s="146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2">
      <c r="A70" s="147"/>
      <c r="B70" s="147"/>
      <c r="C70" s="147"/>
      <c r="D70" s="14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2">
      <c r="A71" s="147"/>
      <c r="B71" s="147"/>
      <c r="C71" s="147"/>
      <c r="D71" s="147"/>
      <c r="E71" s="210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2">
      <c r="A72" s="147"/>
      <c r="B72" s="147"/>
      <c r="C72" s="147"/>
      <c r="D72" s="14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2">
      <c r="A73" s="147"/>
      <c r="B73" s="147"/>
      <c r="C73" s="147"/>
      <c r="D73" s="14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2">
      <c r="A74" s="147"/>
      <c r="B74" s="147"/>
      <c r="C74" s="147"/>
      <c r="D74" s="14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2">
      <c r="A75" s="147"/>
      <c r="B75" s="147"/>
      <c r="C75" s="147"/>
      <c r="D75" s="14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2">
      <c r="A76" s="147"/>
      <c r="B76" s="147"/>
      <c r="C76" s="147"/>
      <c r="D76" s="14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2">
      <c r="A77" s="147"/>
      <c r="B77" s="147"/>
      <c r="C77" s="147"/>
      <c r="D77" s="14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2">
      <c r="A78" s="147"/>
      <c r="B78" s="147"/>
      <c r="C78" s="147"/>
      <c r="D78" s="14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2">
      <c r="A79" s="77"/>
      <c r="B79" s="75"/>
      <c r="C79" s="147"/>
      <c r="D79" s="14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2">
      <c r="A80" s="77"/>
      <c r="B80" s="75"/>
      <c r="C80" s="147"/>
      <c r="D80" s="14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2">
      <c r="A81" s="77"/>
      <c r="B81" s="75"/>
      <c r="C81" s="147"/>
      <c r="D81" s="14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2">
      <c r="A82" s="77"/>
      <c r="B82" s="75"/>
      <c r="C82" s="147"/>
      <c r="D82" s="14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2">
      <c r="A83" s="77"/>
      <c r="B83" s="75"/>
      <c r="C83" s="147"/>
      <c r="D83" s="14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2">
      <c r="A84" s="77"/>
      <c r="B84" s="75"/>
      <c r="C84" s="147"/>
      <c r="D84" s="14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2">
      <c r="A85" s="77"/>
      <c r="B85" s="75"/>
      <c r="C85" s="147"/>
      <c r="D85" s="14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2">
      <c r="A86" s="77"/>
      <c r="B86" s="75"/>
      <c r="C86" s="147"/>
      <c r="D86" s="14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2">
      <c r="A87" s="77"/>
      <c r="B87" s="75"/>
      <c r="C87" s="147"/>
      <c r="D87" s="14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2">
      <c r="A88" s="77"/>
      <c r="B88" s="75"/>
      <c r="C88" s="147"/>
      <c r="D88" s="14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2">
      <c r="A89" s="77"/>
      <c r="B89" s="75"/>
      <c r="C89" s="147"/>
      <c r="D89" s="14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2">
      <c r="A90" s="77"/>
      <c r="B90" s="75"/>
      <c r="C90" s="147"/>
      <c r="D90" s="14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2">
      <c r="A91" s="77"/>
      <c r="B91" s="75"/>
      <c r="C91" s="147"/>
      <c r="D91" s="14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2">
      <c r="A92" s="77"/>
      <c r="B92" s="75"/>
      <c r="C92" s="147"/>
      <c r="D92" s="14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2">
      <c r="A93" s="77"/>
      <c r="B93" s="75"/>
      <c r="C93" s="147"/>
      <c r="D93" s="14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2">
      <c r="A94" s="77"/>
      <c r="B94" s="75"/>
      <c r="C94" s="147"/>
      <c r="D94" s="14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2">
      <c r="A95" s="77"/>
      <c r="B95" s="75"/>
      <c r="C95" s="147"/>
      <c r="D95" s="14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2">
      <c r="A96" s="77"/>
      <c r="B96" s="75"/>
      <c r="C96" s="147"/>
      <c r="D96" s="14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2">
      <c r="A97" s="77"/>
      <c r="B97" s="75"/>
      <c r="C97" s="147"/>
      <c r="D97" s="14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2">
      <c r="A98" s="77"/>
      <c r="B98" s="75"/>
      <c r="C98" s="147"/>
      <c r="D98" s="14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2">
      <c r="A99" s="77"/>
      <c r="B99" s="75"/>
      <c r="C99" s="147"/>
      <c r="D99" s="14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2">
      <c r="A100" s="77"/>
      <c r="B100" s="75"/>
      <c r="C100" s="147"/>
      <c r="D100" s="14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2">
      <c r="A101" s="77"/>
      <c r="B101" s="75"/>
      <c r="C101" s="147"/>
      <c r="D101" s="14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2">
      <c r="A102" s="77"/>
      <c r="B102" s="75"/>
      <c r="C102" s="147"/>
      <c r="D102" s="14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2">
      <c r="A103" s="77"/>
      <c r="B103" s="75"/>
      <c r="C103" s="147"/>
      <c r="D103" s="14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2">
      <c r="A104" s="77"/>
      <c r="B104" s="75"/>
      <c r="C104" s="147"/>
      <c r="D104" s="14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2">
      <c r="A105" s="77"/>
      <c r="B105" s="75"/>
      <c r="C105" s="147"/>
      <c r="D105" s="14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2">
      <c r="A106" s="77"/>
      <c r="B106" s="75"/>
      <c r="C106" s="147"/>
      <c r="D106" s="14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2">
      <c r="A107" s="77"/>
      <c r="B107" s="75"/>
      <c r="C107" s="147"/>
      <c r="D107" s="14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2">
      <c r="A108" s="77"/>
      <c r="B108" s="75"/>
      <c r="C108" s="147"/>
      <c r="D108" s="14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2">
      <c r="A109" s="77"/>
      <c r="B109" s="75"/>
      <c r="C109" s="147"/>
      <c r="D109" s="14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2">
      <c r="A110" s="77"/>
      <c r="B110" s="75"/>
      <c r="C110" s="147"/>
      <c r="D110" s="14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2">
      <c r="A111" s="77"/>
      <c r="B111" s="75"/>
      <c r="C111" s="147"/>
      <c r="D111" s="14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2">
      <c r="A112" s="77"/>
      <c r="B112" s="75"/>
      <c r="C112" s="147"/>
      <c r="D112" s="14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2">
      <c r="A113" s="77"/>
      <c r="B113" s="75"/>
      <c r="C113" s="147"/>
      <c r="D113" s="14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2">
      <c r="A114" s="77"/>
      <c r="B114" s="75"/>
      <c r="C114" s="147"/>
      <c r="D114" s="14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2">
      <c r="A115" s="77"/>
      <c r="B115" s="75"/>
      <c r="C115" s="147"/>
      <c r="D115" s="14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2">
      <c r="A116" s="77"/>
      <c r="B116" s="75"/>
      <c r="C116" s="147"/>
      <c r="D116" s="14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2">
      <c r="A117" s="77"/>
      <c r="B117" s="75"/>
      <c r="C117" s="147"/>
      <c r="D117" s="14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2">
      <c r="A118" s="77"/>
      <c r="B118" s="75"/>
      <c r="C118" s="147"/>
      <c r="D118" s="14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2">
      <c r="A119" s="77"/>
      <c r="B119" s="75"/>
      <c r="C119" s="147"/>
      <c r="D119" s="14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2">
      <c r="A120" s="77"/>
      <c r="B120" s="75"/>
      <c r="C120" s="147"/>
      <c r="D120" s="14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2">
      <c r="A121" s="77"/>
      <c r="B121" s="75"/>
      <c r="C121" s="147"/>
      <c r="D121" s="14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2">
      <c r="A122" s="77"/>
      <c r="B122" s="75"/>
      <c r="C122" s="147"/>
      <c r="D122" s="14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2">
      <c r="A123" s="77"/>
      <c r="B123" s="75"/>
      <c r="C123" s="147"/>
      <c r="D123" s="14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2">
      <c r="A124" s="77"/>
      <c r="B124" s="75"/>
      <c r="C124" s="147"/>
      <c r="D124" s="14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2">
      <c r="A125" s="77"/>
      <c r="B125" s="75"/>
      <c r="C125" s="147"/>
      <c r="D125" s="14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2">
      <c r="A126" s="77"/>
      <c r="B126" s="75"/>
      <c r="C126" s="147"/>
      <c r="D126" s="14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2">
      <c r="A127" s="77"/>
      <c r="B127" s="75"/>
      <c r="C127" s="147"/>
      <c r="D127" s="14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2">
      <c r="A128" s="77"/>
      <c r="B128" s="75"/>
      <c r="C128" s="147"/>
      <c r="D128" s="14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2">
      <c r="A129" s="77"/>
      <c r="B129" s="75"/>
      <c r="C129" s="147"/>
      <c r="D129" s="14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2">
      <c r="A130" s="77"/>
      <c r="B130" s="75"/>
      <c r="C130" s="147"/>
      <c r="D130" s="14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2">
      <c r="A131" s="77"/>
      <c r="B131" s="75"/>
      <c r="C131" s="147"/>
      <c r="D131" s="14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2">
      <c r="A132" s="77"/>
      <c r="B132" s="75"/>
      <c r="C132" s="147"/>
      <c r="D132" s="14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2">
      <c r="A133" s="77"/>
      <c r="B133" s="75"/>
      <c r="C133" s="147"/>
      <c r="D133" s="14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2">
      <c r="A134" s="77"/>
      <c r="B134" s="75"/>
      <c r="C134" s="147"/>
      <c r="D134" s="14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2">
      <c r="A135" s="77"/>
      <c r="B135" s="75"/>
      <c r="C135" s="147"/>
      <c r="D135" s="14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2">
      <c r="A136" s="77"/>
      <c r="B136" s="75"/>
      <c r="C136" s="147"/>
      <c r="D136" s="14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2">
      <c r="A137" s="77"/>
      <c r="B137" s="75"/>
      <c r="C137" s="147"/>
      <c r="D137" s="14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2">
      <c r="A138" s="77"/>
      <c r="B138" s="75"/>
      <c r="C138" s="147"/>
      <c r="D138" s="14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2">
      <c r="A139" s="77"/>
      <c r="B139" s="75"/>
      <c r="C139" s="147"/>
      <c r="D139" s="14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2">
      <c r="A140" s="77"/>
      <c r="B140" s="75"/>
      <c r="C140" s="147"/>
      <c r="D140" s="14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2">
      <c r="A141" s="77"/>
      <c r="B141" s="75"/>
      <c r="C141" s="147"/>
      <c r="D141" s="14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2">
      <c r="A142" s="77"/>
      <c r="B142" s="75"/>
      <c r="C142" s="147"/>
      <c r="D142" s="14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2">
      <c r="A143" s="77"/>
      <c r="B143" s="75"/>
      <c r="C143" s="147"/>
      <c r="D143" s="14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2">
      <c r="A144" s="77"/>
      <c r="B144" s="75"/>
      <c r="C144" s="147"/>
      <c r="D144" s="14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2">
      <c r="A145" s="77"/>
      <c r="B145" s="75"/>
      <c r="C145" s="147"/>
      <c r="D145" s="14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2">
      <c r="A146" s="77"/>
      <c r="B146" s="75"/>
      <c r="C146" s="147"/>
      <c r="D146" s="14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2">
      <c r="A147" s="77"/>
      <c r="B147" s="75"/>
      <c r="C147" s="147"/>
      <c r="D147" s="14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2">
      <c r="A148" s="77"/>
      <c r="B148" s="75"/>
      <c r="C148" s="147"/>
      <c r="D148" s="14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2">
      <c r="A149" s="77"/>
      <c r="B149" s="75"/>
      <c r="C149" s="147"/>
      <c r="D149" s="14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2">
      <c r="A150" s="77"/>
      <c r="B150" s="75"/>
      <c r="C150" s="147"/>
      <c r="D150" s="14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2">
      <c r="A151" s="77"/>
      <c r="B151" s="75"/>
      <c r="C151" s="147"/>
      <c r="D151" s="14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2">
      <c r="A152" s="77"/>
      <c r="B152" s="75"/>
      <c r="C152" s="147"/>
      <c r="D152" s="14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2">
      <c r="A153" s="77"/>
      <c r="B153" s="75"/>
      <c r="C153" s="147"/>
      <c r="D153" s="14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2">
      <c r="A154" s="77"/>
      <c r="B154" s="75"/>
      <c r="C154" s="147"/>
      <c r="D154" s="14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2">
      <c r="A155" s="77"/>
      <c r="B155" s="75"/>
      <c r="C155" s="147"/>
      <c r="D155" s="14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2">
      <c r="A156" s="77"/>
      <c r="B156" s="75"/>
      <c r="C156" s="147"/>
      <c r="D156" s="14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2">
      <c r="A157" s="77"/>
      <c r="B157" s="75"/>
      <c r="C157" s="147"/>
      <c r="D157" s="14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2">
      <c r="A158" s="77"/>
      <c r="B158" s="75"/>
      <c r="C158" s="147"/>
      <c r="D158" s="14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2">
      <c r="A159" s="77"/>
      <c r="B159" s="75"/>
      <c r="C159" s="147"/>
      <c r="D159" s="14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2">
      <c r="A160" s="77"/>
      <c r="B160" s="75"/>
      <c r="C160" s="147"/>
      <c r="D160" s="14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2">
      <c r="A161" s="77"/>
      <c r="B161" s="75"/>
      <c r="C161" s="147"/>
      <c r="D161" s="14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2">
      <c r="A162" s="77"/>
      <c r="B162" s="75"/>
      <c r="C162" s="147"/>
      <c r="D162" s="14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2">
      <c r="A163" s="77"/>
      <c r="B163" s="75"/>
      <c r="C163" s="147"/>
      <c r="D163" s="14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2">
      <c r="A164" s="77"/>
      <c r="B164" s="75"/>
      <c r="C164" s="147"/>
      <c r="D164" s="14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2">
      <c r="A165" s="77"/>
      <c r="B165" s="75"/>
      <c r="C165" s="147"/>
      <c r="D165" s="14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2">
      <c r="A166" s="77"/>
      <c r="B166" s="75"/>
      <c r="C166" s="147"/>
      <c r="D166" s="14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2">
      <c r="A167" s="77"/>
      <c r="B167" s="75"/>
      <c r="C167" s="147"/>
      <c r="D167" s="14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2">
      <c r="A168" s="77"/>
      <c r="B168" s="75"/>
      <c r="C168" s="147"/>
      <c r="D168" s="14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2">
      <c r="A169" s="77"/>
      <c r="B169" s="75"/>
      <c r="C169" s="147"/>
      <c r="D169" s="14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2">
      <c r="A170" s="77"/>
      <c r="B170" s="75"/>
      <c r="C170" s="147"/>
      <c r="D170" s="14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2">
      <c r="A171" s="77"/>
      <c r="B171" s="75"/>
      <c r="C171" s="147"/>
      <c r="D171" s="14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2">
      <c r="A172" s="77"/>
      <c r="B172" s="75"/>
      <c r="C172" s="147"/>
      <c r="D172" s="14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2">
      <c r="A173" s="77"/>
      <c r="B173" s="75"/>
      <c r="C173" s="147"/>
      <c r="D173" s="14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2">
      <c r="A174" s="77"/>
      <c r="B174" s="75"/>
      <c r="C174" s="147"/>
      <c r="D174" s="14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2">
      <c r="A175" s="77"/>
      <c r="B175" s="75"/>
      <c r="C175" s="147"/>
      <c r="D175" s="14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2">
      <c r="A176" s="77"/>
      <c r="B176" s="75"/>
      <c r="C176" s="147"/>
      <c r="D176" s="14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2">
      <c r="A177" s="77"/>
      <c r="B177" s="75"/>
      <c r="C177" s="147"/>
      <c r="D177" s="14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2">
      <c r="A178" s="77"/>
      <c r="B178" s="75"/>
      <c r="C178" s="147"/>
      <c r="D178" s="14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2">
      <c r="A179" s="77"/>
      <c r="B179" s="75"/>
      <c r="C179" s="147"/>
      <c r="D179" s="14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2">
      <c r="A180" s="77"/>
      <c r="B180" s="75"/>
      <c r="C180" s="147"/>
      <c r="D180" s="14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2">
      <c r="A181" s="77"/>
      <c r="B181" s="75"/>
      <c r="C181" s="147"/>
      <c r="D181" s="14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2">
      <c r="A182" s="77"/>
      <c r="B182" s="75"/>
      <c r="C182" s="147"/>
      <c r="D182" s="14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2">
      <c r="A183" s="77"/>
      <c r="B183" s="75"/>
      <c r="C183" s="147"/>
      <c r="D183" s="14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2">
      <c r="A184" s="77"/>
      <c r="B184" s="75"/>
      <c r="C184" s="147"/>
      <c r="D184" s="14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2">
      <c r="A185" s="77"/>
      <c r="B185" s="75"/>
      <c r="C185" s="147"/>
      <c r="D185" s="14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2">
      <c r="A186" s="77"/>
      <c r="B186" s="75"/>
      <c r="C186" s="147"/>
      <c r="D186" s="14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2">
      <c r="A187" s="77"/>
      <c r="B187" s="75"/>
      <c r="C187" s="147"/>
      <c r="D187" s="14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2">
      <c r="A188" s="77"/>
      <c r="B188" s="75"/>
      <c r="C188" s="147"/>
      <c r="D188" s="14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2">
      <c r="A189" s="77"/>
      <c r="B189" s="75"/>
      <c r="C189" s="147"/>
      <c r="D189" s="14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2">
      <c r="A190" s="77"/>
      <c r="B190" s="75"/>
      <c r="C190" s="147"/>
      <c r="D190" s="14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2">
      <c r="A191" s="77"/>
      <c r="B191" s="75"/>
      <c r="C191" s="147"/>
      <c r="D191" s="14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2">
      <c r="A192" s="77"/>
      <c r="B192" s="75"/>
      <c r="C192" s="147"/>
      <c r="D192" s="14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2">
      <c r="A193" s="77"/>
      <c r="B193" s="75"/>
      <c r="C193" s="147"/>
      <c r="D193" s="14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2">
      <c r="A194" s="77"/>
      <c r="B194" s="75"/>
      <c r="C194" s="147"/>
      <c r="D194" s="14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2">
      <c r="A195" s="77"/>
      <c r="B195" s="75"/>
      <c r="C195" s="147"/>
      <c r="D195" s="14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2">
      <c r="A196" s="77"/>
      <c r="B196" s="75"/>
      <c r="C196" s="147"/>
      <c r="D196" s="14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2">
      <c r="A197" s="77"/>
      <c r="B197" s="75"/>
      <c r="C197" s="147"/>
      <c r="D197" s="14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2">
      <c r="A198" s="77"/>
      <c r="B198" s="75"/>
      <c r="C198" s="147"/>
      <c r="D198" s="14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2">
      <c r="A199" s="77"/>
      <c r="B199" s="75"/>
      <c r="C199" s="147"/>
      <c r="D199" s="14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2">
      <c r="A200" s="77"/>
      <c r="B200" s="75"/>
      <c r="C200" s="147"/>
      <c r="D200" s="14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2">
      <c r="A201" s="77"/>
      <c r="B201" s="75"/>
      <c r="C201" s="147"/>
      <c r="D201" s="14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2">
      <c r="A202" s="77"/>
      <c r="B202" s="75"/>
      <c r="C202" s="147"/>
      <c r="D202" s="14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2">
      <c r="A203" s="77"/>
      <c r="B203" s="75"/>
      <c r="C203" s="147"/>
      <c r="D203" s="14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2">
      <c r="A204" s="77"/>
      <c r="B204" s="75"/>
      <c r="C204" s="147"/>
      <c r="D204" s="14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2">
      <c r="A205" s="77"/>
      <c r="B205" s="75"/>
      <c r="C205" s="147"/>
      <c r="D205" s="14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2">
      <c r="A206" s="77"/>
      <c r="B206" s="75"/>
      <c r="C206" s="147"/>
      <c r="D206" s="14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2">
      <c r="A207" s="77"/>
      <c r="B207" s="75"/>
      <c r="C207" s="147"/>
      <c r="D207" s="14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2">
      <c r="A208" s="77"/>
      <c r="B208" s="75"/>
      <c r="C208" s="147"/>
      <c r="D208" s="14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2">
      <c r="A209" s="77"/>
      <c r="B209" s="75"/>
      <c r="C209" s="147"/>
      <c r="D209" s="14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2">
      <c r="A210" s="77"/>
      <c r="B210" s="75"/>
      <c r="C210" s="147"/>
      <c r="D210" s="14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2">
      <c r="A211" s="77"/>
      <c r="B211" s="75"/>
      <c r="C211" s="147"/>
      <c r="D211" s="14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2">
      <c r="A212" s="77"/>
      <c r="B212" s="75"/>
      <c r="C212" s="147"/>
      <c r="D212" s="14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2">
      <c r="A213" s="77"/>
      <c r="B213" s="75"/>
      <c r="C213" s="147"/>
      <c r="D213" s="14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2">
      <c r="A214" s="77"/>
      <c r="B214" s="75"/>
      <c r="C214" s="147"/>
      <c r="D214" s="14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2">
      <c r="A215" s="77"/>
      <c r="B215" s="75"/>
      <c r="C215" s="147"/>
      <c r="D215" s="14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2">
      <c r="A216" s="77"/>
      <c r="B216" s="75"/>
      <c r="C216" s="147"/>
      <c r="D216" s="14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2">
      <c r="A217" s="77"/>
      <c r="B217" s="75"/>
      <c r="C217" s="147"/>
      <c r="D217" s="14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2">
      <c r="A218" s="77"/>
      <c r="B218" s="75"/>
      <c r="C218" s="147"/>
      <c r="D218" s="14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2">
      <c r="A219" s="77"/>
      <c r="B219" s="75"/>
      <c r="C219" s="147"/>
      <c r="D219" s="14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2">
      <c r="A220" s="77"/>
      <c r="B220" s="75"/>
      <c r="C220" s="147"/>
      <c r="D220" s="14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2">
      <c r="A221" s="77"/>
      <c r="B221" s="75"/>
      <c r="C221" s="147"/>
      <c r="D221" s="14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2">
      <c r="A222" s="77"/>
      <c r="B222" s="75"/>
      <c r="C222" s="147"/>
      <c r="D222" s="14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2">
      <c r="A223" s="77"/>
      <c r="B223" s="75"/>
      <c r="C223" s="147"/>
      <c r="D223" s="14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2">
      <c r="A224" s="77"/>
      <c r="B224" s="75"/>
      <c r="C224" s="147"/>
      <c r="D224" s="14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2">
      <c r="A225" s="77"/>
      <c r="B225" s="75"/>
      <c r="C225" s="147"/>
      <c r="D225" s="14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2">
      <c r="A226" s="77"/>
      <c r="B226" s="75"/>
      <c r="C226" s="147"/>
      <c r="D226" s="14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2">
      <c r="A227" s="77"/>
      <c r="B227" s="75"/>
      <c r="C227" s="147"/>
      <c r="D227" s="14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2">
      <c r="A228" s="77"/>
      <c r="B228" s="75"/>
      <c r="C228" s="147"/>
      <c r="D228" s="14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2">
      <c r="A229" s="77"/>
      <c r="B229" s="75"/>
      <c r="C229" s="147"/>
      <c r="D229" s="14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2">
      <c r="A230" s="77"/>
      <c r="B230" s="75"/>
      <c r="C230" s="147"/>
      <c r="D230" s="14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2">
      <c r="A231" s="77"/>
      <c r="B231" s="75"/>
      <c r="C231" s="147"/>
      <c r="D231" s="14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2">
      <c r="A232" s="77"/>
      <c r="B232" s="75"/>
      <c r="C232" s="147"/>
      <c r="D232" s="14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2">
      <c r="A233" s="77"/>
      <c r="B233" s="75"/>
      <c r="C233" s="147"/>
      <c r="D233" s="14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2">
      <c r="A234" s="77"/>
      <c r="B234" s="75"/>
      <c r="C234" s="147"/>
      <c r="D234" s="14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2">
      <c r="A235" s="77"/>
      <c r="B235" s="75"/>
      <c r="C235" s="147"/>
      <c r="D235" s="14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2">
      <c r="A236" s="77"/>
      <c r="B236" s="75"/>
      <c r="C236" s="147"/>
      <c r="D236" s="14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2">
      <c r="A237" s="77"/>
      <c r="B237" s="75"/>
      <c r="C237" s="147"/>
      <c r="D237" s="14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2">
      <c r="A238" s="77"/>
      <c r="B238" s="75"/>
      <c r="C238" s="147"/>
      <c r="D238" s="14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2">
      <c r="A239" s="77"/>
      <c r="B239" s="75"/>
      <c r="C239" s="147"/>
      <c r="D239" s="14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2">
      <c r="A240" s="77"/>
      <c r="B240" s="75"/>
      <c r="C240" s="147"/>
      <c r="D240" s="14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2">
      <c r="A241" s="77"/>
      <c r="B241" s="75"/>
      <c r="C241" s="147"/>
      <c r="D241" s="14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2">
      <c r="A242" s="77"/>
      <c r="B242" s="75"/>
      <c r="C242" s="147"/>
      <c r="D242" s="14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2">
      <c r="A243" s="77"/>
      <c r="B243" s="75"/>
      <c r="C243" s="147"/>
      <c r="D243" s="14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2">
      <c r="A244" s="77"/>
      <c r="B244" s="75"/>
      <c r="C244" s="147"/>
      <c r="D244" s="14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2">
      <c r="A245" s="77"/>
      <c r="B245" s="75"/>
      <c r="C245" s="147"/>
      <c r="D245" s="14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2">
      <c r="A246" s="77"/>
      <c r="B246" s="75"/>
      <c r="C246" s="147"/>
      <c r="D246" s="14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2">
      <c r="A247" s="77"/>
      <c r="B247" s="75"/>
      <c r="C247" s="147"/>
      <c r="D247" s="14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2">
      <c r="A248" s="77"/>
      <c r="B248" s="75"/>
      <c r="C248" s="147"/>
      <c r="D248" s="14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2">
      <c r="A249" s="77"/>
      <c r="B249" s="75"/>
      <c r="C249" s="147"/>
      <c r="D249" s="14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2">
      <c r="A250" s="77"/>
      <c r="B250" s="75"/>
      <c r="C250" s="147"/>
      <c r="D250" s="14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2">
      <c r="A251" s="77"/>
      <c r="B251" s="75"/>
      <c r="C251" s="147"/>
      <c r="D251" s="14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2">
      <c r="A252" s="77"/>
      <c r="B252" s="75"/>
      <c r="C252" s="147"/>
      <c r="D252" s="14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2">
      <c r="A253" s="77"/>
      <c r="B253" s="75"/>
      <c r="C253" s="147"/>
      <c r="D253" s="14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2">
      <c r="A254" s="77"/>
      <c r="B254" s="75"/>
      <c r="C254" s="147"/>
      <c r="D254" s="14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2">
      <c r="A255" s="77"/>
      <c r="B255" s="75"/>
      <c r="C255" s="147"/>
      <c r="D255" s="14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2">
      <c r="A256" s="77"/>
      <c r="B256" s="75"/>
      <c r="C256" s="147"/>
      <c r="D256" s="14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2">
      <c r="A257" s="77"/>
      <c r="B257" s="75"/>
      <c r="C257" s="147"/>
      <c r="D257" s="14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2">
      <c r="A258" s="77"/>
      <c r="B258" s="75"/>
      <c r="C258" s="147"/>
      <c r="D258" s="14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2">
      <c r="A259" s="77"/>
      <c r="B259" s="75"/>
      <c r="C259" s="147"/>
      <c r="D259" s="14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2">
      <c r="A260" s="77"/>
      <c r="B260" s="75"/>
      <c r="C260" s="147"/>
      <c r="D260" s="14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2">
      <c r="A261" s="77"/>
      <c r="B261" s="75"/>
      <c r="C261" s="147"/>
      <c r="D261" s="14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2">
      <c r="A262" s="77"/>
      <c r="B262" s="75"/>
      <c r="C262" s="147"/>
      <c r="D262" s="14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2">
      <c r="A263" s="77"/>
      <c r="B263" s="75"/>
      <c r="C263" s="147"/>
      <c r="D263" s="14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2">
      <c r="A264" s="77"/>
      <c r="B264" s="75"/>
      <c r="C264" s="147"/>
      <c r="D264" s="14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2">
      <c r="A265" s="77"/>
      <c r="B265" s="75"/>
      <c r="C265" s="147"/>
      <c r="D265" s="14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2">
      <c r="A266" s="77"/>
      <c r="B266" s="75"/>
      <c r="C266" s="147"/>
      <c r="D266" s="14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2">
      <c r="A267" s="77"/>
      <c r="B267" s="75"/>
      <c r="C267" s="147"/>
      <c r="D267" s="14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2">
      <c r="A268" s="77"/>
      <c r="B268" s="75"/>
      <c r="C268" s="147"/>
      <c r="D268" s="14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15"/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I2"/>
    <mergeCell ref="D13:F13"/>
    <mergeCell ref="G13:I13"/>
  </mergeCells>
  <pageMargins left="0.7" right="0.7" top="0.75" bottom="0.75" header="0" footer="0"/>
  <pageSetup orientation="landscape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Macintosh Excel</ns0:Application>
  <ns0:DocSecurity>0</ns0:DocSecurity>
  <ns0:ScaleCrop>false</ns0:ScaleCrop>
  <ns0:HeadingPairs>
    <ns1:vector size="2" baseType="variant">
      <ns1:variant>
        <ns1:lpstr>Planilhas</ns1:lpstr>
      </ns1:variant>
      <ns1:variant>
        <ns1:i4>4</ns1:i4>
      </ns1:variant>
    </ns1:vector>
  </ns0:HeadingPairs>
  <ns0:TitlesOfParts>
    <ns1:vector size="4" baseType="lpstr">
      <ns1:lpstr>DRE Serviços</ns1:lpstr>
      <ns1:lpstr>Planejamento Estratégico</ns1:lpstr>
      <ns1:lpstr>Fluxo de Caixa - FC</ns1:lpstr>
      <ns1:lpstr>TIR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/>
  <ns1:created xsi:type="dcterms:W3CDTF">2024-10-05T01:11:34Z</ns1:created>
  <ns1:modified xsi:type="dcterms:W3CDTF">2024-10-05T02:38:04Z</ns1:modified>
</ns0:coreProperties>
</file>